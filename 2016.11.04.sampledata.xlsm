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-macro-exercise\"/>
    </mc:Choice>
  </mc:AlternateContent>
  <bookViews>
    <workbookView xWindow="0" yWindow="0" windowWidth="20490" windowHeight="7485" activeTab="1"/>
  </bookViews>
  <sheets>
    <sheet name="Sheet1" sheetId="1" r:id="rId1"/>
    <sheet name="Sheet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S5" i="2"/>
  <c r="V5" i="2"/>
  <c r="Y5" i="2"/>
  <c r="AH5" i="2"/>
  <c r="AP5" i="2"/>
  <c r="AQ5" i="2"/>
  <c r="L6" i="2"/>
  <c r="S6" i="2"/>
  <c r="V6" i="2"/>
  <c r="Y6" i="2"/>
  <c r="AH6" i="2"/>
  <c r="AP6" i="2"/>
  <c r="AQ6" i="2"/>
  <c r="L7" i="2"/>
  <c r="S7" i="2"/>
  <c r="V7" i="2"/>
  <c r="Y7" i="2"/>
  <c r="AH7" i="2"/>
  <c r="AP7" i="2"/>
  <c r="AQ7" i="2"/>
  <c r="L8" i="2"/>
  <c r="S8" i="2"/>
  <c r="V8" i="2"/>
  <c r="Y8" i="2"/>
  <c r="AH8" i="2"/>
  <c r="AP8" i="2"/>
  <c r="AQ8" i="2"/>
  <c r="L9" i="2"/>
  <c r="S9" i="2"/>
  <c r="V9" i="2"/>
  <c r="Y9" i="2"/>
  <c r="AH9" i="2"/>
  <c r="AP9" i="2"/>
  <c r="AQ9" i="2"/>
  <c r="L10" i="2"/>
  <c r="S10" i="2"/>
  <c r="V10" i="2"/>
  <c r="Y10" i="2"/>
  <c r="AH10" i="2"/>
  <c r="AP10" i="2"/>
  <c r="AQ10" i="2"/>
  <c r="L11" i="2"/>
  <c r="S11" i="2"/>
  <c r="V11" i="2"/>
  <c r="Y11" i="2"/>
  <c r="AH11" i="2"/>
  <c r="AP11" i="2"/>
  <c r="AQ11" i="2"/>
  <c r="L4" i="2"/>
  <c r="S4" i="2"/>
  <c r="V4" i="2"/>
  <c r="Y4" i="2"/>
  <c r="AP4" i="2"/>
  <c r="AQ4" i="2"/>
  <c r="AQ81" i="2"/>
  <c r="AP81" i="2"/>
  <c r="Y81" i="2"/>
  <c r="V81" i="2"/>
  <c r="S81" i="2"/>
  <c r="L81" i="2"/>
  <c r="AQ80" i="2"/>
  <c r="AP80" i="2"/>
  <c r="Y80" i="2"/>
  <c r="V80" i="2"/>
  <c r="S80" i="2"/>
  <c r="L80" i="2"/>
  <c r="AQ79" i="2"/>
  <c r="AP79" i="2"/>
  <c r="Y79" i="2"/>
  <c r="V79" i="2"/>
  <c r="S79" i="2"/>
  <c r="L79" i="2"/>
  <c r="AQ78" i="2"/>
  <c r="AP78" i="2"/>
  <c r="Y78" i="2"/>
  <c r="V78" i="2"/>
  <c r="S78" i="2"/>
  <c r="L78" i="2"/>
  <c r="AQ77" i="2"/>
  <c r="AP77" i="2"/>
  <c r="Y77" i="2"/>
  <c r="V77" i="2"/>
  <c r="S77" i="2"/>
  <c r="L77" i="2"/>
  <c r="AQ76" i="2"/>
  <c r="AP76" i="2"/>
  <c r="Y76" i="2"/>
  <c r="V76" i="2"/>
  <c r="S76" i="2"/>
  <c r="L76" i="2"/>
  <c r="AQ75" i="2"/>
  <c r="AP75" i="2"/>
  <c r="Y75" i="2"/>
  <c r="V75" i="2"/>
  <c r="S75" i="2"/>
  <c r="L75" i="2"/>
  <c r="AQ74" i="2"/>
  <c r="AP74" i="2"/>
  <c r="Y74" i="2"/>
  <c r="V74" i="2"/>
  <c r="S74" i="2"/>
  <c r="L74" i="2"/>
  <c r="AQ73" i="2"/>
  <c r="AP73" i="2"/>
  <c r="Y73" i="2"/>
  <c r="V73" i="2"/>
  <c r="S73" i="2"/>
  <c r="L73" i="2"/>
  <c r="AQ72" i="2"/>
  <c r="AP72" i="2"/>
  <c r="Y72" i="2"/>
  <c r="V72" i="2"/>
  <c r="S72" i="2"/>
  <c r="L72" i="2"/>
  <c r="AQ71" i="2"/>
  <c r="AP71" i="2"/>
  <c r="Y71" i="2"/>
  <c r="V71" i="2"/>
  <c r="S71" i="2"/>
  <c r="L71" i="2"/>
  <c r="AQ70" i="2"/>
  <c r="AP70" i="2"/>
  <c r="Y70" i="2"/>
  <c r="V70" i="2"/>
  <c r="S70" i="2"/>
  <c r="L70" i="2"/>
  <c r="AQ69" i="2"/>
  <c r="AP69" i="2"/>
  <c r="Y69" i="2"/>
  <c r="V69" i="2"/>
  <c r="S69" i="2"/>
  <c r="L69" i="2"/>
  <c r="AQ68" i="2"/>
  <c r="AP68" i="2"/>
  <c r="Y68" i="2"/>
  <c r="V68" i="2"/>
  <c r="S68" i="2"/>
  <c r="L68" i="2"/>
  <c r="AQ67" i="2"/>
  <c r="AP67" i="2"/>
  <c r="Y67" i="2"/>
  <c r="V67" i="2"/>
  <c r="S67" i="2"/>
  <c r="L67" i="2"/>
  <c r="AQ66" i="2"/>
  <c r="AP66" i="2"/>
  <c r="Y66" i="2"/>
  <c r="V66" i="2"/>
  <c r="S66" i="2"/>
  <c r="L66" i="2"/>
  <c r="AQ65" i="2"/>
  <c r="AP65" i="2"/>
  <c r="Y65" i="2"/>
  <c r="V65" i="2"/>
  <c r="S65" i="2"/>
  <c r="L65" i="2"/>
  <c r="AQ64" i="2"/>
  <c r="AP64" i="2"/>
  <c r="Y64" i="2"/>
  <c r="V64" i="2"/>
  <c r="S64" i="2"/>
  <c r="L64" i="2"/>
  <c r="AQ63" i="2"/>
  <c r="AP63" i="2"/>
  <c r="Y63" i="2"/>
  <c r="V63" i="2"/>
  <c r="S63" i="2"/>
  <c r="L63" i="2"/>
  <c r="AQ62" i="2"/>
  <c r="AP62" i="2"/>
  <c r="Y62" i="2"/>
  <c r="V62" i="2"/>
  <c r="S62" i="2"/>
  <c r="L62" i="2"/>
  <c r="AQ61" i="2"/>
  <c r="AP61" i="2"/>
  <c r="Y61" i="2"/>
  <c r="V61" i="2"/>
  <c r="S61" i="2"/>
  <c r="L61" i="2"/>
  <c r="AQ60" i="2"/>
  <c r="AP60" i="2"/>
  <c r="Y60" i="2"/>
  <c r="V60" i="2"/>
  <c r="S60" i="2"/>
  <c r="L60" i="2"/>
  <c r="AQ59" i="2"/>
  <c r="AP59" i="2"/>
  <c r="Y59" i="2"/>
  <c r="V59" i="2"/>
  <c r="S59" i="2"/>
  <c r="L59" i="2"/>
  <c r="AQ58" i="2"/>
  <c r="AP58" i="2"/>
  <c r="Y58" i="2"/>
  <c r="V58" i="2"/>
  <c r="S58" i="2"/>
  <c r="L58" i="2"/>
  <c r="AQ57" i="2"/>
  <c r="AP57" i="2"/>
  <c r="Y57" i="2"/>
  <c r="V57" i="2"/>
  <c r="S57" i="2"/>
  <c r="L57" i="2"/>
  <c r="AQ56" i="2"/>
  <c r="AP56" i="2"/>
  <c r="Y56" i="2"/>
  <c r="V56" i="2"/>
  <c r="S56" i="2"/>
  <c r="L56" i="2"/>
  <c r="AQ55" i="2"/>
  <c r="AP55" i="2"/>
  <c r="Y55" i="2"/>
  <c r="V55" i="2"/>
  <c r="S55" i="2"/>
  <c r="L55" i="2"/>
  <c r="AQ54" i="2"/>
  <c r="AP54" i="2"/>
  <c r="Y54" i="2"/>
  <c r="V54" i="2"/>
  <c r="S54" i="2"/>
  <c r="L54" i="2"/>
  <c r="AQ53" i="2"/>
  <c r="AP53" i="2"/>
  <c r="Y53" i="2"/>
  <c r="V53" i="2"/>
  <c r="S53" i="2"/>
  <c r="L53" i="2"/>
  <c r="AQ52" i="2"/>
  <c r="AP52" i="2"/>
  <c r="Y52" i="2"/>
  <c r="V52" i="2"/>
  <c r="S52" i="2"/>
  <c r="L52" i="2"/>
  <c r="AQ51" i="2"/>
  <c r="AP51" i="2"/>
  <c r="Y51" i="2"/>
  <c r="V51" i="2"/>
  <c r="S51" i="2"/>
  <c r="L51" i="2"/>
  <c r="AQ50" i="2"/>
  <c r="AP50" i="2"/>
  <c r="Y50" i="2"/>
  <c r="V50" i="2"/>
  <c r="S50" i="2"/>
  <c r="L50" i="2"/>
  <c r="AQ49" i="2"/>
  <c r="AP49" i="2"/>
  <c r="Y49" i="2"/>
  <c r="V49" i="2"/>
  <c r="S49" i="2"/>
  <c r="L49" i="2"/>
  <c r="AQ48" i="2"/>
  <c r="AP48" i="2"/>
  <c r="Y48" i="2"/>
  <c r="V48" i="2"/>
  <c r="S48" i="2"/>
  <c r="L48" i="2"/>
  <c r="AQ47" i="2"/>
  <c r="AP47" i="2"/>
  <c r="Y47" i="2"/>
  <c r="V47" i="2"/>
  <c r="S47" i="2"/>
  <c r="L47" i="2"/>
  <c r="AQ46" i="2"/>
  <c r="AP46" i="2"/>
  <c r="Y46" i="2"/>
  <c r="V46" i="2"/>
  <c r="S46" i="2"/>
  <c r="L46" i="2"/>
  <c r="AQ45" i="2"/>
  <c r="AP45" i="2"/>
  <c r="Y45" i="2"/>
  <c r="V45" i="2"/>
  <c r="S45" i="2"/>
  <c r="L45" i="2"/>
  <c r="AQ44" i="2"/>
  <c r="AP44" i="2"/>
  <c r="Y44" i="2"/>
  <c r="V44" i="2"/>
  <c r="S44" i="2"/>
  <c r="L44" i="2"/>
  <c r="AQ43" i="2"/>
  <c r="AP43" i="2"/>
  <c r="Y43" i="2"/>
  <c r="V43" i="2"/>
  <c r="S43" i="2"/>
  <c r="L43" i="2"/>
  <c r="AQ42" i="2"/>
  <c r="AP42" i="2"/>
  <c r="Y42" i="2"/>
  <c r="V42" i="2"/>
  <c r="S42" i="2"/>
  <c r="L42" i="2"/>
  <c r="AQ41" i="2"/>
  <c r="AP41" i="2"/>
  <c r="Y41" i="2"/>
  <c r="V41" i="2"/>
  <c r="S41" i="2"/>
  <c r="L41" i="2"/>
  <c r="AQ40" i="2"/>
  <c r="AP40" i="2"/>
  <c r="Y40" i="2"/>
  <c r="V40" i="2"/>
  <c r="S40" i="2"/>
  <c r="L40" i="2"/>
  <c r="AQ39" i="2"/>
  <c r="AP39" i="2"/>
  <c r="Y39" i="2"/>
  <c r="V39" i="2"/>
  <c r="S39" i="2"/>
  <c r="L39" i="2"/>
  <c r="AQ38" i="2"/>
  <c r="AP38" i="2"/>
  <c r="Y38" i="2"/>
  <c r="V38" i="2"/>
  <c r="S38" i="2"/>
  <c r="L38" i="2"/>
  <c r="AQ37" i="2"/>
  <c r="AP37" i="2"/>
  <c r="Y37" i="2"/>
  <c r="V37" i="2"/>
  <c r="S37" i="2"/>
  <c r="L37" i="2"/>
  <c r="AQ36" i="2"/>
  <c r="AP36" i="2"/>
  <c r="Y36" i="2"/>
  <c r="V36" i="2"/>
  <c r="S36" i="2"/>
  <c r="L36" i="2"/>
  <c r="AQ35" i="2"/>
  <c r="AP35" i="2"/>
  <c r="Y35" i="2"/>
  <c r="V35" i="2"/>
  <c r="S35" i="2"/>
  <c r="L35" i="2"/>
  <c r="AQ34" i="2"/>
  <c r="AP34" i="2"/>
  <c r="Y34" i="2"/>
  <c r="V34" i="2"/>
  <c r="S34" i="2"/>
  <c r="L34" i="2"/>
  <c r="AQ33" i="2"/>
  <c r="AP33" i="2"/>
  <c r="Y33" i="2"/>
  <c r="V33" i="2"/>
  <c r="S33" i="2"/>
  <c r="L33" i="2"/>
  <c r="AQ32" i="2"/>
  <c r="AP32" i="2"/>
  <c r="Y32" i="2"/>
  <c r="V32" i="2"/>
  <c r="S32" i="2"/>
  <c r="L32" i="2"/>
  <c r="AQ31" i="2"/>
  <c r="AP31" i="2"/>
  <c r="Y31" i="2"/>
  <c r="V31" i="2"/>
  <c r="S31" i="2"/>
  <c r="L31" i="2"/>
  <c r="AQ30" i="2"/>
  <c r="AP30" i="2"/>
  <c r="Y30" i="2"/>
  <c r="V30" i="2"/>
  <c r="S30" i="2"/>
  <c r="L30" i="2"/>
  <c r="AQ29" i="2"/>
  <c r="AP29" i="2"/>
  <c r="Y29" i="2"/>
  <c r="V29" i="2"/>
  <c r="S29" i="2"/>
  <c r="L29" i="2"/>
  <c r="AQ28" i="2"/>
  <c r="AP28" i="2"/>
  <c r="Y28" i="2"/>
  <c r="V28" i="2"/>
  <c r="S28" i="2"/>
  <c r="L28" i="2"/>
  <c r="AQ27" i="2"/>
  <c r="AP27" i="2"/>
  <c r="Y27" i="2"/>
  <c r="V27" i="2"/>
  <c r="S27" i="2"/>
  <c r="L27" i="2"/>
  <c r="AQ26" i="2"/>
  <c r="AP26" i="2"/>
  <c r="Y26" i="2"/>
  <c r="V26" i="2"/>
  <c r="S26" i="2"/>
  <c r="L26" i="2"/>
  <c r="AQ25" i="2"/>
  <c r="AP25" i="2"/>
  <c r="Y25" i="2"/>
  <c r="V25" i="2"/>
  <c r="S25" i="2"/>
  <c r="L25" i="2"/>
  <c r="AQ24" i="2"/>
  <c r="AP24" i="2"/>
  <c r="Y24" i="2"/>
  <c r="V24" i="2"/>
  <c r="S24" i="2"/>
  <c r="L24" i="2"/>
  <c r="AQ23" i="2"/>
  <c r="AP23" i="2"/>
  <c r="Y23" i="2"/>
  <c r="V23" i="2"/>
  <c r="S23" i="2"/>
  <c r="L23" i="2"/>
  <c r="AQ22" i="2"/>
  <c r="AP22" i="2"/>
  <c r="Y22" i="2"/>
  <c r="V22" i="2"/>
  <c r="S22" i="2"/>
  <c r="L22" i="2"/>
  <c r="AQ21" i="2"/>
  <c r="AP21" i="2"/>
  <c r="Y21" i="2"/>
  <c r="V21" i="2"/>
  <c r="S21" i="2"/>
  <c r="L21" i="2"/>
  <c r="AQ20" i="2"/>
  <c r="AP20" i="2"/>
  <c r="Y20" i="2"/>
  <c r="V20" i="2"/>
  <c r="S20" i="2"/>
  <c r="L20" i="2"/>
  <c r="AQ19" i="2"/>
  <c r="AP19" i="2"/>
  <c r="Y19" i="2"/>
  <c r="V19" i="2"/>
  <c r="S19" i="2"/>
  <c r="L19" i="2"/>
  <c r="AQ18" i="2"/>
  <c r="AP18" i="2"/>
  <c r="Y18" i="2"/>
  <c r="V18" i="2"/>
  <c r="S18" i="2"/>
  <c r="L18" i="2"/>
  <c r="AQ17" i="2"/>
  <c r="AP17" i="2"/>
  <c r="Y17" i="2"/>
  <c r="V17" i="2"/>
  <c r="S17" i="2"/>
  <c r="L17" i="2"/>
  <c r="AQ16" i="2"/>
  <c r="AP16" i="2"/>
  <c r="Y16" i="2"/>
  <c r="V16" i="2"/>
  <c r="S16" i="2"/>
  <c r="L16" i="2"/>
  <c r="AQ15" i="2"/>
  <c r="AP15" i="2"/>
  <c r="Y15" i="2"/>
  <c r="V15" i="2"/>
  <c r="S15" i="2"/>
  <c r="L15" i="2"/>
  <c r="AQ14" i="2"/>
  <c r="AP14" i="2"/>
  <c r="Y14" i="2"/>
  <c r="V14" i="2"/>
  <c r="S14" i="2"/>
  <c r="L14" i="2"/>
  <c r="AQ13" i="2"/>
  <c r="AP13" i="2"/>
  <c r="Y13" i="2"/>
  <c r="V13" i="2"/>
  <c r="S13" i="2"/>
  <c r="L13" i="2"/>
  <c r="AQ12" i="2"/>
  <c r="AP12" i="2"/>
  <c r="Y12" i="2"/>
  <c r="V12" i="2"/>
  <c r="S12" i="2"/>
  <c r="L12" i="2"/>
  <c r="AD3" i="2"/>
  <c r="AD47" i="2" s="1"/>
  <c r="AC3" i="2"/>
  <c r="AB3" i="2"/>
  <c r="AB6" i="2" s="1"/>
  <c r="AA3" i="2"/>
  <c r="AM81" i="1"/>
  <c r="AL81" i="1"/>
  <c r="W81" i="1"/>
  <c r="T81" i="1"/>
  <c r="Q81" i="1"/>
  <c r="J81" i="1"/>
  <c r="AC81" i="1" s="1"/>
  <c r="AM80" i="1"/>
  <c r="AL80" i="1"/>
  <c r="W80" i="1"/>
  <c r="T80" i="1"/>
  <c r="Q80" i="1"/>
  <c r="J80" i="1"/>
  <c r="AM79" i="1"/>
  <c r="AL79" i="1"/>
  <c r="W79" i="1"/>
  <c r="T79" i="1"/>
  <c r="Q79" i="1"/>
  <c r="J79" i="1"/>
  <c r="AM78" i="1"/>
  <c r="AL78" i="1"/>
  <c r="W78" i="1"/>
  <c r="T78" i="1"/>
  <c r="Q78" i="1"/>
  <c r="J78" i="1"/>
  <c r="AC78" i="1" s="1"/>
  <c r="AM77" i="1"/>
  <c r="AL77" i="1"/>
  <c r="W77" i="1"/>
  <c r="T77" i="1"/>
  <c r="Q77" i="1"/>
  <c r="J77" i="1"/>
  <c r="AM76" i="1"/>
  <c r="AL76" i="1"/>
  <c r="W76" i="1"/>
  <c r="T76" i="1"/>
  <c r="Q76" i="1"/>
  <c r="J76" i="1"/>
  <c r="AM75" i="1"/>
  <c r="AL75" i="1"/>
  <c r="W75" i="1"/>
  <c r="T75" i="1"/>
  <c r="Q75" i="1"/>
  <c r="J75" i="1"/>
  <c r="AM74" i="1"/>
  <c r="AL74" i="1"/>
  <c r="W74" i="1"/>
  <c r="T74" i="1"/>
  <c r="Q74" i="1"/>
  <c r="J74" i="1"/>
  <c r="AC74" i="1" s="1"/>
  <c r="AM73" i="1"/>
  <c r="AL73" i="1"/>
  <c r="W73" i="1"/>
  <c r="T73" i="1"/>
  <c r="Q73" i="1"/>
  <c r="J73" i="1"/>
  <c r="AC73" i="1" s="1"/>
  <c r="AM72" i="1"/>
  <c r="AL72" i="1"/>
  <c r="W72" i="1"/>
  <c r="T72" i="1"/>
  <c r="Q72" i="1"/>
  <c r="J72" i="1"/>
  <c r="AM71" i="1"/>
  <c r="AL71" i="1"/>
  <c r="W71" i="1"/>
  <c r="T71" i="1"/>
  <c r="Q71" i="1"/>
  <c r="J71" i="1"/>
  <c r="AM70" i="1"/>
  <c r="AL70" i="1"/>
  <c r="W70" i="1"/>
  <c r="T70" i="1"/>
  <c r="Q70" i="1"/>
  <c r="J70" i="1"/>
  <c r="AC70" i="1" s="1"/>
  <c r="AM69" i="1"/>
  <c r="AL69" i="1"/>
  <c r="W69" i="1"/>
  <c r="T69" i="1"/>
  <c r="Q69" i="1"/>
  <c r="J69" i="1"/>
  <c r="AM68" i="1"/>
  <c r="AL68" i="1"/>
  <c r="W68" i="1"/>
  <c r="T68" i="1"/>
  <c r="Q68" i="1"/>
  <c r="J68" i="1"/>
  <c r="AM67" i="1"/>
  <c r="AL67" i="1"/>
  <c r="W67" i="1"/>
  <c r="T67" i="1"/>
  <c r="Q67" i="1"/>
  <c r="J67" i="1"/>
  <c r="AM66" i="1"/>
  <c r="AL66" i="1"/>
  <c r="W66" i="1"/>
  <c r="T66" i="1"/>
  <c r="Q66" i="1"/>
  <c r="J66" i="1"/>
  <c r="AC66" i="1" s="1"/>
  <c r="AM65" i="1"/>
  <c r="AL65" i="1"/>
  <c r="W65" i="1"/>
  <c r="T65" i="1"/>
  <c r="Q65" i="1"/>
  <c r="J65" i="1"/>
  <c r="AM64" i="1"/>
  <c r="AL64" i="1"/>
  <c r="W64" i="1"/>
  <c r="T64" i="1"/>
  <c r="Q64" i="1"/>
  <c r="J64" i="1"/>
  <c r="AM63" i="1"/>
  <c r="AL63" i="1"/>
  <c r="W63" i="1"/>
  <c r="T63" i="1"/>
  <c r="Q63" i="1"/>
  <c r="J63" i="1"/>
  <c r="AM62" i="1"/>
  <c r="AL62" i="1"/>
  <c r="W62" i="1"/>
  <c r="T62" i="1"/>
  <c r="Q62" i="1"/>
  <c r="J62" i="1"/>
  <c r="AC62" i="1" s="1"/>
  <c r="AM61" i="1"/>
  <c r="AL61" i="1"/>
  <c r="W61" i="1"/>
  <c r="T61" i="1"/>
  <c r="Q61" i="1"/>
  <c r="J61" i="1"/>
  <c r="AC61" i="1" s="1"/>
  <c r="AM60" i="1"/>
  <c r="AL60" i="1"/>
  <c r="W60" i="1"/>
  <c r="T60" i="1"/>
  <c r="Q60" i="1"/>
  <c r="J60" i="1"/>
  <c r="AM59" i="1"/>
  <c r="AL59" i="1"/>
  <c r="W59" i="1"/>
  <c r="T59" i="1"/>
  <c r="Q59" i="1"/>
  <c r="J59" i="1"/>
  <c r="AM58" i="1"/>
  <c r="AL58" i="1"/>
  <c r="W58" i="1"/>
  <c r="T58" i="1"/>
  <c r="Q58" i="1"/>
  <c r="J58" i="1"/>
  <c r="AM57" i="1"/>
  <c r="AL57" i="1"/>
  <c r="W57" i="1"/>
  <c r="T57" i="1"/>
  <c r="Q57" i="1"/>
  <c r="J57" i="1"/>
  <c r="AM56" i="1"/>
  <c r="AL56" i="1"/>
  <c r="W56" i="1"/>
  <c r="T56" i="1"/>
  <c r="Q56" i="1"/>
  <c r="J56" i="1"/>
  <c r="AM55" i="1"/>
  <c r="AL55" i="1"/>
  <c r="W55" i="1"/>
  <c r="T55" i="1"/>
  <c r="Q55" i="1"/>
  <c r="J55" i="1"/>
  <c r="AC55" i="1" s="1"/>
  <c r="AM54" i="1"/>
  <c r="AL54" i="1"/>
  <c r="AF54" i="1"/>
  <c r="W54" i="1"/>
  <c r="T54" i="1"/>
  <c r="Q54" i="1"/>
  <c r="J54" i="1"/>
  <c r="AC54" i="1" s="1"/>
  <c r="AM53" i="1"/>
  <c r="AL53" i="1"/>
  <c r="W53" i="1"/>
  <c r="T53" i="1"/>
  <c r="Q53" i="1"/>
  <c r="J53" i="1"/>
  <c r="AM52" i="1"/>
  <c r="AL52" i="1"/>
  <c r="W52" i="1"/>
  <c r="T52" i="1"/>
  <c r="Q52" i="1"/>
  <c r="J52" i="1"/>
  <c r="AC52" i="1" s="1"/>
  <c r="AM51" i="1"/>
  <c r="AL51" i="1"/>
  <c r="W51" i="1"/>
  <c r="T51" i="1"/>
  <c r="Q51" i="1"/>
  <c r="J51" i="1"/>
  <c r="AM50" i="1"/>
  <c r="AL50" i="1"/>
  <c r="W50" i="1"/>
  <c r="T50" i="1"/>
  <c r="Q50" i="1"/>
  <c r="J50" i="1"/>
  <c r="AC50" i="1" s="1"/>
  <c r="AM49" i="1"/>
  <c r="AL49" i="1"/>
  <c r="W49" i="1"/>
  <c r="T49" i="1"/>
  <c r="Q49" i="1"/>
  <c r="J49" i="1"/>
  <c r="AM48" i="1"/>
  <c r="AL48" i="1"/>
  <c r="W48" i="1"/>
  <c r="T48" i="1"/>
  <c r="Q48" i="1"/>
  <c r="J48" i="1"/>
  <c r="AM47" i="1"/>
  <c r="AL47" i="1"/>
  <c r="W47" i="1"/>
  <c r="T47" i="1"/>
  <c r="Q47" i="1"/>
  <c r="J47" i="1"/>
  <c r="AM46" i="1"/>
  <c r="AL46" i="1"/>
  <c r="W46" i="1"/>
  <c r="T46" i="1"/>
  <c r="Q46" i="1"/>
  <c r="J46" i="1"/>
  <c r="AC46" i="1" s="1"/>
  <c r="AM45" i="1"/>
  <c r="AL45" i="1"/>
  <c r="W45" i="1"/>
  <c r="T45" i="1"/>
  <c r="Q45" i="1"/>
  <c r="J45" i="1"/>
  <c r="AC45" i="1" s="1"/>
  <c r="AM44" i="1"/>
  <c r="AL44" i="1"/>
  <c r="W44" i="1"/>
  <c r="T44" i="1"/>
  <c r="Q44" i="1"/>
  <c r="J44" i="1"/>
  <c r="AM43" i="1"/>
  <c r="AL43" i="1"/>
  <c r="W43" i="1"/>
  <c r="T43" i="1"/>
  <c r="Q43" i="1"/>
  <c r="J43" i="1"/>
  <c r="AC43" i="1" s="1"/>
  <c r="AF43" i="1" s="1"/>
  <c r="AM42" i="1"/>
  <c r="AL42" i="1"/>
  <c r="W42" i="1"/>
  <c r="T42" i="1"/>
  <c r="Q42" i="1"/>
  <c r="J42" i="1"/>
  <c r="AC42" i="1" s="1"/>
  <c r="AM41" i="1"/>
  <c r="AL41" i="1"/>
  <c r="Z41" i="1"/>
  <c r="W41" i="1"/>
  <c r="T41" i="1"/>
  <c r="Q41" i="1"/>
  <c r="J41" i="1"/>
  <c r="AM40" i="1"/>
  <c r="AL40" i="1"/>
  <c r="W40" i="1"/>
  <c r="T40" i="1"/>
  <c r="Q40" i="1"/>
  <c r="J40" i="1"/>
  <c r="AM39" i="1"/>
  <c r="AL39" i="1"/>
  <c r="W39" i="1"/>
  <c r="T39" i="1"/>
  <c r="Q39" i="1"/>
  <c r="J39" i="1"/>
  <c r="AM38" i="1"/>
  <c r="AL38" i="1"/>
  <c r="W38" i="1"/>
  <c r="T38" i="1"/>
  <c r="Q38" i="1"/>
  <c r="J38" i="1"/>
  <c r="AM37" i="1"/>
  <c r="AL37" i="1"/>
  <c r="W37" i="1"/>
  <c r="T37" i="1"/>
  <c r="Q37" i="1"/>
  <c r="J37" i="1"/>
  <c r="AC37" i="1" s="1"/>
  <c r="AM36" i="1"/>
  <c r="AL36" i="1"/>
  <c r="W36" i="1"/>
  <c r="T36" i="1"/>
  <c r="Q36" i="1"/>
  <c r="J36" i="1"/>
  <c r="AM35" i="1"/>
  <c r="AL35" i="1"/>
  <c r="W35" i="1"/>
  <c r="T35" i="1"/>
  <c r="Q35" i="1"/>
  <c r="J35" i="1"/>
  <c r="AM34" i="1"/>
  <c r="AL34" i="1"/>
  <c r="W34" i="1"/>
  <c r="T34" i="1"/>
  <c r="Q34" i="1"/>
  <c r="J34" i="1"/>
  <c r="AM33" i="1"/>
  <c r="AL33" i="1"/>
  <c r="Z33" i="1"/>
  <c r="W33" i="1"/>
  <c r="T33" i="1"/>
  <c r="Q33" i="1"/>
  <c r="J33" i="1"/>
  <c r="AM32" i="1"/>
  <c r="AL32" i="1"/>
  <c r="AC32" i="1"/>
  <c r="W32" i="1"/>
  <c r="T32" i="1"/>
  <c r="Q32" i="1"/>
  <c r="J32" i="1"/>
  <c r="AM31" i="1"/>
  <c r="AL31" i="1"/>
  <c r="W31" i="1"/>
  <c r="T31" i="1"/>
  <c r="Q31" i="1"/>
  <c r="Z31" i="1" s="1"/>
  <c r="J31" i="1"/>
  <c r="AC31" i="1" s="1"/>
  <c r="AM30" i="1"/>
  <c r="AL30" i="1"/>
  <c r="W30" i="1"/>
  <c r="T30" i="1"/>
  <c r="Q30" i="1"/>
  <c r="J30" i="1"/>
  <c r="AC30" i="1" s="1"/>
  <c r="AM29" i="1"/>
  <c r="AL29" i="1"/>
  <c r="W29" i="1"/>
  <c r="T29" i="1"/>
  <c r="Q29" i="1"/>
  <c r="Z29" i="1" s="1"/>
  <c r="J29" i="1"/>
  <c r="AM28" i="1"/>
  <c r="AL28" i="1"/>
  <c r="AC28" i="1"/>
  <c r="W28" i="1"/>
  <c r="T28" i="1"/>
  <c r="Q28" i="1"/>
  <c r="J28" i="1"/>
  <c r="Y28" i="1" s="1"/>
  <c r="AM27" i="1"/>
  <c r="AL27" i="1"/>
  <c r="W27" i="1"/>
  <c r="T27" i="1"/>
  <c r="Q27" i="1"/>
  <c r="J27" i="1"/>
  <c r="AC27" i="1" s="1"/>
  <c r="AM26" i="1"/>
  <c r="AL26" i="1"/>
  <c r="W26" i="1"/>
  <c r="T26" i="1"/>
  <c r="Q26" i="1"/>
  <c r="J26" i="1"/>
  <c r="Y26" i="1" s="1"/>
  <c r="AM25" i="1"/>
  <c r="AL25" i="1"/>
  <c r="W25" i="1"/>
  <c r="T25" i="1"/>
  <c r="Q25" i="1"/>
  <c r="J25" i="1"/>
  <c r="AC25" i="1" s="1"/>
  <c r="AM24" i="1"/>
  <c r="AL24" i="1"/>
  <c r="AC24" i="1"/>
  <c r="W24" i="1"/>
  <c r="T24" i="1"/>
  <c r="Q24" i="1"/>
  <c r="Z24" i="1" s="1"/>
  <c r="J24" i="1"/>
  <c r="AM23" i="1"/>
  <c r="AL23" i="1"/>
  <c r="W23" i="1"/>
  <c r="T23" i="1"/>
  <c r="Q23" i="1"/>
  <c r="J23" i="1"/>
  <c r="AC23" i="1" s="1"/>
  <c r="AM22" i="1"/>
  <c r="AL22" i="1"/>
  <c r="W22" i="1"/>
  <c r="T22" i="1"/>
  <c r="Q22" i="1"/>
  <c r="Z22" i="1" s="1"/>
  <c r="J22" i="1"/>
  <c r="AC22" i="1" s="1"/>
  <c r="AM21" i="1"/>
  <c r="AL21" i="1"/>
  <c r="W21" i="1"/>
  <c r="T21" i="1"/>
  <c r="Q21" i="1"/>
  <c r="J21" i="1"/>
  <c r="AC21" i="1" s="1"/>
  <c r="AM20" i="1"/>
  <c r="AL20" i="1"/>
  <c r="AC20" i="1"/>
  <c r="W20" i="1"/>
  <c r="T20" i="1"/>
  <c r="Q20" i="1"/>
  <c r="J20" i="1"/>
  <c r="AM19" i="1"/>
  <c r="AL19" i="1"/>
  <c r="W19" i="1"/>
  <c r="T19" i="1"/>
  <c r="Q19" i="1"/>
  <c r="J19" i="1"/>
  <c r="AC19" i="1" s="1"/>
  <c r="AM18" i="1"/>
  <c r="AL18" i="1"/>
  <c r="W18" i="1"/>
  <c r="T18" i="1"/>
  <c r="Q18" i="1"/>
  <c r="J18" i="1"/>
  <c r="AC18" i="1" s="1"/>
  <c r="AM17" i="1"/>
  <c r="AL17" i="1"/>
  <c r="W17" i="1"/>
  <c r="T17" i="1"/>
  <c r="Q17" i="1"/>
  <c r="J17" i="1"/>
  <c r="AC17" i="1" s="1"/>
  <c r="AM16" i="1"/>
  <c r="AL16" i="1"/>
  <c r="AC16" i="1"/>
  <c r="W16" i="1"/>
  <c r="T16" i="1"/>
  <c r="Q16" i="1"/>
  <c r="J16" i="1"/>
  <c r="AM15" i="1"/>
  <c r="AL15" i="1"/>
  <c r="W15" i="1"/>
  <c r="T15" i="1"/>
  <c r="Q15" i="1"/>
  <c r="Z15" i="1" s="1"/>
  <c r="J15" i="1"/>
  <c r="AC15" i="1" s="1"/>
  <c r="AM14" i="1"/>
  <c r="AL14" i="1"/>
  <c r="W14" i="1"/>
  <c r="AB14" i="1" s="1"/>
  <c r="T14" i="1"/>
  <c r="Q14" i="1"/>
  <c r="J14" i="1"/>
  <c r="AC14" i="1" s="1"/>
  <c r="AM13" i="1"/>
  <c r="AL13" i="1"/>
  <c r="W13" i="1"/>
  <c r="T13" i="1"/>
  <c r="Q13" i="1"/>
  <c r="Z13" i="1" s="1"/>
  <c r="J13" i="1"/>
  <c r="AC13" i="1" s="1"/>
  <c r="AM12" i="1"/>
  <c r="AL12" i="1"/>
  <c r="AC12" i="1"/>
  <c r="W12" i="1"/>
  <c r="T12" i="1"/>
  <c r="Q12" i="1"/>
  <c r="J12" i="1"/>
  <c r="Y12" i="1" s="1"/>
  <c r="AM11" i="1"/>
  <c r="AL11" i="1"/>
  <c r="W11" i="1"/>
  <c r="T11" i="1"/>
  <c r="Q11" i="1"/>
  <c r="J11" i="1"/>
  <c r="AC11" i="1" s="1"/>
  <c r="AM10" i="1"/>
  <c r="AL10" i="1"/>
  <c r="W10" i="1"/>
  <c r="T10" i="1"/>
  <c r="Q10" i="1"/>
  <c r="J10" i="1"/>
  <c r="AC10" i="1" s="1"/>
  <c r="AM9" i="1"/>
  <c r="AL9" i="1"/>
  <c r="W9" i="1"/>
  <c r="T9" i="1"/>
  <c r="Q9" i="1"/>
  <c r="J9" i="1"/>
  <c r="AC9" i="1" s="1"/>
  <c r="AM8" i="1"/>
  <c r="AL8" i="1"/>
  <c r="W8" i="1"/>
  <c r="T8" i="1"/>
  <c r="Q8" i="1"/>
  <c r="J8" i="1"/>
  <c r="AC8" i="1" s="1"/>
  <c r="AM7" i="1"/>
  <c r="AL7" i="1"/>
  <c r="W7" i="1"/>
  <c r="T7" i="1"/>
  <c r="Q7" i="1"/>
  <c r="J7" i="1"/>
  <c r="AC7" i="1" s="1"/>
  <c r="AM6" i="1"/>
  <c r="AL6" i="1"/>
  <c r="W6" i="1"/>
  <c r="T6" i="1"/>
  <c r="Q6" i="1"/>
  <c r="J6" i="1"/>
  <c r="AC6" i="1" s="1"/>
  <c r="AW5" i="1"/>
  <c r="AM5" i="1"/>
  <c r="AL5" i="1"/>
  <c r="W5" i="1"/>
  <c r="AB5" i="1" s="1"/>
  <c r="T5" i="1"/>
  <c r="Q5" i="1"/>
  <c r="J5" i="1"/>
  <c r="AW4" i="1"/>
  <c r="AM4" i="1"/>
  <c r="AL4" i="1"/>
  <c r="W4" i="1"/>
  <c r="T4" i="1"/>
  <c r="Q4" i="1"/>
  <c r="J4" i="1"/>
  <c r="AB3" i="1"/>
  <c r="AA3" i="1"/>
  <c r="Z3" i="1"/>
  <c r="Z45" i="1" s="1"/>
  <c r="Y3" i="1"/>
  <c r="AC5" i="2" l="1"/>
  <c r="AA4" i="2"/>
  <c r="AD11" i="2"/>
  <c r="AC10" i="2"/>
  <c r="AC8" i="2"/>
  <c r="AC6" i="2"/>
  <c r="AB5" i="2"/>
  <c r="AA11" i="2"/>
  <c r="AA9" i="2"/>
  <c r="AA7" i="2"/>
  <c r="AC11" i="2"/>
  <c r="AA10" i="2"/>
  <c r="AC9" i="2"/>
  <c r="AA8" i="2"/>
  <c r="AC7" i="2"/>
  <c r="AA6" i="2"/>
  <c r="AD5" i="2"/>
  <c r="AB11" i="2"/>
  <c r="AD10" i="2"/>
  <c r="AB9" i="2"/>
  <c r="AD8" i="2"/>
  <c r="AB7" i="2"/>
  <c r="AD6" i="2"/>
  <c r="AB10" i="2"/>
  <c r="AD9" i="2"/>
  <c r="AB8" i="2"/>
  <c r="AD7" i="2"/>
  <c r="AA5" i="2"/>
  <c r="AA20" i="2"/>
  <c r="AA24" i="2"/>
  <c r="AA28" i="2"/>
  <c r="AA32" i="2"/>
  <c r="AA36" i="2"/>
  <c r="AC45" i="2"/>
  <c r="AB39" i="2"/>
  <c r="AA15" i="2"/>
  <c r="AC18" i="2"/>
  <c r="AA19" i="2"/>
  <c r="AC22" i="2"/>
  <c r="AA23" i="2"/>
  <c r="AC26" i="2"/>
  <c r="AA27" i="2"/>
  <c r="AC30" i="2"/>
  <c r="AA31" i="2"/>
  <c r="AC34" i="2"/>
  <c r="AA35" i="2"/>
  <c r="AC38" i="2"/>
  <c r="AE79" i="2"/>
  <c r="AH79" i="2" s="1"/>
  <c r="AE81" i="2"/>
  <c r="AH4" i="2"/>
  <c r="AD14" i="2"/>
  <c r="AD4" i="2"/>
  <c r="AA12" i="2"/>
  <c r="AA16" i="2"/>
  <c r="AD18" i="2"/>
  <c r="AD22" i="2"/>
  <c r="AD26" i="2"/>
  <c r="AD30" i="2"/>
  <c r="AD34" i="2"/>
  <c r="AD38" i="2"/>
  <c r="AC4" i="2"/>
  <c r="AD15" i="2"/>
  <c r="AB4" i="2"/>
  <c r="AE80" i="2"/>
  <c r="AH80" i="2" s="1"/>
  <c r="AC14" i="2"/>
  <c r="AD19" i="2"/>
  <c r="AD23" i="2"/>
  <c r="AD27" i="2"/>
  <c r="AD31" i="2"/>
  <c r="AD35" i="2"/>
  <c r="AH24" i="2"/>
  <c r="AH36" i="2"/>
  <c r="AC13" i="2"/>
  <c r="AH15" i="2"/>
  <c r="AC21" i="2"/>
  <c r="AC29" i="2"/>
  <c r="AC37" i="2"/>
  <c r="AE78" i="2"/>
  <c r="AH78" i="2" s="1"/>
  <c r="AC12" i="2"/>
  <c r="AD13" i="2"/>
  <c r="AA14" i="2"/>
  <c r="AC16" i="2"/>
  <c r="AD17" i="2"/>
  <c r="AA18" i="2"/>
  <c r="AH18" i="2"/>
  <c r="AC20" i="2"/>
  <c r="AD21" i="2"/>
  <c r="AA22" i="2"/>
  <c r="AC24" i="2"/>
  <c r="AD25" i="2"/>
  <c r="AA26" i="2"/>
  <c r="AH26" i="2"/>
  <c r="AC28" i="2"/>
  <c r="AD29" i="2"/>
  <c r="AA30" i="2"/>
  <c r="AH30" i="2"/>
  <c r="AC32" i="2"/>
  <c r="AD33" i="2"/>
  <c r="AA34" i="2"/>
  <c r="AH34" i="2"/>
  <c r="AC36" i="2"/>
  <c r="AD37" i="2"/>
  <c r="AA38" i="2"/>
  <c r="AH45" i="2"/>
  <c r="AH20" i="2"/>
  <c r="AH32" i="2"/>
  <c r="AC41" i="2"/>
  <c r="AC17" i="2"/>
  <c r="AC25" i="2"/>
  <c r="AC33" i="2"/>
  <c r="AE3" i="2"/>
  <c r="AG14" i="2" s="1"/>
  <c r="AO14" i="2" s="1"/>
  <c r="AU14" i="2" s="1"/>
  <c r="AD12" i="2"/>
  <c r="AA13" i="2"/>
  <c r="AH13" i="2"/>
  <c r="AC15" i="2"/>
  <c r="AD16" i="2"/>
  <c r="AA17" i="2"/>
  <c r="AC19" i="2"/>
  <c r="AD20" i="2"/>
  <c r="AA21" i="2"/>
  <c r="AC23" i="2"/>
  <c r="AD24" i="2"/>
  <c r="AA25" i="2"/>
  <c r="AC27" i="2"/>
  <c r="AD28" i="2"/>
  <c r="AA29" i="2"/>
  <c r="AH29" i="2"/>
  <c r="AC31" i="2"/>
  <c r="AD32" i="2"/>
  <c r="AA33" i="2"/>
  <c r="AC35" i="2"/>
  <c r="AD36" i="2"/>
  <c r="AA37" i="2"/>
  <c r="AA39" i="2"/>
  <c r="AD50" i="2"/>
  <c r="AD53" i="2"/>
  <c r="AD56" i="2"/>
  <c r="AD59" i="2"/>
  <c r="AD61" i="2"/>
  <c r="AD62" i="2"/>
  <c r="AD64" i="2"/>
  <c r="AD68" i="2"/>
  <c r="AD69" i="2"/>
  <c r="AA71" i="2"/>
  <c r="AA75" i="2"/>
  <c r="AH12" i="2"/>
  <c r="AH17" i="2"/>
  <c r="AH23" i="2"/>
  <c r="AH35" i="2"/>
  <c r="AH37" i="2"/>
  <c r="AC39" i="2"/>
  <c r="AD40" i="2"/>
  <c r="AD41" i="2"/>
  <c r="AD42" i="2"/>
  <c r="AB43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4" i="2"/>
  <c r="AG22" i="2"/>
  <c r="AO22" i="2" s="1"/>
  <c r="AU22" i="2" s="1"/>
  <c r="AH38" i="2"/>
  <c r="AD51" i="2"/>
  <c r="AD54" i="2"/>
  <c r="AD57" i="2"/>
  <c r="AD66" i="2"/>
  <c r="AD67" i="2"/>
  <c r="AH14" i="2"/>
  <c r="AH27" i="2"/>
  <c r="AH33" i="2"/>
  <c r="AB40" i="2"/>
  <c r="AA41" i="2"/>
  <c r="AB42" i="2"/>
  <c r="AC43" i="2"/>
  <c r="AA73" i="2"/>
  <c r="AA77" i="2"/>
  <c r="AG30" i="2"/>
  <c r="AO30" i="2" s="1"/>
  <c r="AU30" i="2" s="1"/>
  <c r="AD49" i="2"/>
  <c r="AD52" i="2"/>
  <c r="AD55" i="2"/>
  <c r="AD58" i="2"/>
  <c r="AD60" i="2"/>
  <c r="AD63" i="2"/>
  <c r="AD65" i="2"/>
  <c r="AH16" i="2"/>
  <c r="AH22" i="2"/>
  <c r="AH28" i="2"/>
  <c r="AH31" i="2"/>
  <c r="AD48" i="2"/>
  <c r="AD43" i="2"/>
  <c r="AD46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C40" i="2"/>
  <c r="AC42" i="2"/>
  <c r="AD45" i="2"/>
  <c r="AH46" i="2"/>
  <c r="AC46" i="2"/>
  <c r="AA72" i="2"/>
  <c r="AA76" i="2"/>
  <c r="AD39" i="2"/>
  <c r="AC44" i="2"/>
  <c r="AB46" i="2"/>
  <c r="AB47" i="2"/>
  <c r="AD79" i="2"/>
  <c r="AA80" i="2"/>
  <c r="AA81" i="2"/>
  <c r="AH81" i="2"/>
  <c r="AA40" i="2"/>
  <c r="AD44" i="2"/>
  <c r="AC47" i="2"/>
  <c r="AC48" i="2"/>
  <c r="AA79" i="2"/>
  <c r="AB81" i="2"/>
  <c r="AD70" i="2"/>
  <c r="AD71" i="2"/>
  <c r="AD72" i="2"/>
  <c r="AD73" i="2"/>
  <c r="AE74" i="2"/>
  <c r="AD74" i="2"/>
  <c r="AE75" i="2"/>
  <c r="AD75" i="2"/>
  <c r="AE76" i="2"/>
  <c r="AD76" i="2"/>
  <c r="AE77" i="2"/>
  <c r="AD77" i="2"/>
  <c r="AA78" i="2"/>
  <c r="AC80" i="2"/>
  <c r="AB78" i="2"/>
  <c r="AD80" i="2"/>
  <c r="AC81" i="2"/>
  <c r="AB41" i="2"/>
  <c r="AB45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C78" i="2"/>
  <c r="AB79" i="2"/>
  <c r="AG79" i="2"/>
  <c r="AO79" i="2" s="1"/>
  <c r="AU79" i="2" s="1"/>
  <c r="AD81" i="2"/>
  <c r="AA42" i="2"/>
  <c r="AB44" i="2"/>
  <c r="AB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D78" i="2"/>
  <c r="AC79" i="2"/>
  <c r="AB80" i="2"/>
  <c r="AA43" i="2"/>
  <c r="AA44" i="2"/>
  <c r="AA45" i="2"/>
  <c r="AA46" i="2"/>
  <c r="AA47" i="2"/>
  <c r="AA48" i="2"/>
  <c r="AC5" i="1"/>
  <c r="Z6" i="1"/>
  <c r="AB7" i="1"/>
  <c r="Z8" i="1"/>
  <c r="Z10" i="1"/>
  <c r="Z12" i="1"/>
  <c r="Y16" i="1"/>
  <c r="Z17" i="1"/>
  <c r="AB18" i="1"/>
  <c r="Z19" i="1"/>
  <c r="Z26" i="1"/>
  <c r="Z28" i="1"/>
  <c r="Y32" i="1"/>
  <c r="Z36" i="1"/>
  <c r="Z38" i="1"/>
  <c r="Z66" i="1"/>
  <c r="Z5" i="1"/>
  <c r="Z14" i="1"/>
  <c r="Z16" i="1"/>
  <c r="Y20" i="1"/>
  <c r="Z21" i="1"/>
  <c r="AB22" i="1"/>
  <c r="Z23" i="1"/>
  <c r="Z30" i="1"/>
  <c r="Z32" i="1"/>
  <c r="Z37" i="1"/>
  <c r="Z43" i="1"/>
  <c r="Z44" i="1"/>
  <c r="Z46" i="1"/>
  <c r="AA4" i="1"/>
  <c r="Z4" i="1"/>
  <c r="AB6" i="1"/>
  <c r="Z7" i="1"/>
  <c r="AB8" i="1"/>
  <c r="Z9" i="1"/>
  <c r="AB10" i="1"/>
  <c r="Z11" i="1"/>
  <c r="Z18" i="1"/>
  <c r="Z20" i="1"/>
  <c r="Y24" i="1"/>
  <c r="Z25" i="1"/>
  <c r="AB26" i="1"/>
  <c r="Z27" i="1"/>
  <c r="Y29" i="1"/>
  <c r="Z34" i="1"/>
  <c r="Z40" i="1"/>
  <c r="Z42" i="1"/>
  <c r="Z65" i="1"/>
  <c r="Z67" i="1"/>
  <c r="AF6" i="1"/>
  <c r="AF10" i="1"/>
  <c r="AF19" i="1"/>
  <c r="AF14" i="1"/>
  <c r="AF21" i="1"/>
  <c r="AF30" i="1"/>
  <c r="AF7" i="1"/>
  <c r="AF9" i="1"/>
  <c r="AF11" i="1"/>
  <c r="AF18" i="1"/>
  <c r="AF25" i="1"/>
  <c r="AF27" i="1"/>
  <c r="AF8" i="1"/>
  <c r="AF17" i="1"/>
  <c r="AF5" i="1"/>
  <c r="AF23" i="1"/>
  <c r="AF13" i="1"/>
  <c r="AF15" i="1"/>
  <c r="AF22" i="1"/>
  <c r="AF31" i="1"/>
  <c r="AA58" i="1"/>
  <c r="AA78" i="1"/>
  <c r="AA77" i="1"/>
  <c r="AA70" i="1"/>
  <c r="AA69" i="1"/>
  <c r="AA61" i="1"/>
  <c r="AA54" i="1"/>
  <c r="AA74" i="1"/>
  <c r="AA73" i="1"/>
  <c r="AA60" i="1"/>
  <c r="AA57" i="1"/>
  <c r="AA45" i="1"/>
  <c r="AA38" i="1"/>
  <c r="AA34" i="1"/>
  <c r="AA53" i="1"/>
  <c r="AA51" i="1"/>
  <c r="AA49" i="1"/>
  <c r="AA46" i="1"/>
  <c r="AA42" i="1"/>
  <c r="AA41" i="1"/>
  <c r="AA37" i="1"/>
  <c r="AA33" i="1"/>
  <c r="AA40" i="1"/>
  <c r="AA81" i="1"/>
  <c r="AA66" i="1"/>
  <c r="AA65" i="1"/>
  <c r="Y9" i="1"/>
  <c r="AA11" i="1"/>
  <c r="AF12" i="1"/>
  <c r="AA15" i="1"/>
  <c r="AF24" i="1"/>
  <c r="AB57" i="1"/>
  <c r="AB78" i="1"/>
  <c r="AB70" i="1"/>
  <c r="AB64" i="1"/>
  <c r="AB56" i="1"/>
  <c r="AB79" i="1"/>
  <c r="AB71" i="1"/>
  <c r="AB74" i="1"/>
  <c r="AB60" i="1"/>
  <c r="AB45" i="1"/>
  <c r="AB75" i="1"/>
  <c r="AB59" i="1"/>
  <c r="AB53" i="1"/>
  <c r="AB51" i="1"/>
  <c r="AB49" i="1"/>
  <c r="AB41" i="1"/>
  <c r="AB37" i="1"/>
  <c r="AB33" i="1"/>
  <c r="AB66" i="1"/>
  <c r="AB43" i="1"/>
  <c r="AB40" i="1"/>
  <c r="AB36" i="1"/>
  <c r="AB44" i="1"/>
  <c r="AB39" i="1"/>
  <c r="AB67" i="1"/>
  <c r="AB55" i="1"/>
  <c r="Y5" i="1"/>
  <c r="Y6" i="1"/>
  <c r="Y7" i="1"/>
  <c r="Y8" i="1"/>
  <c r="AB11" i="1"/>
  <c r="AA12" i="1"/>
  <c r="Y14" i="1"/>
  <c r="AA16" i="1"/>
  <c r="AB19" i="1"/>
  <c r="Y22" i="1"/>
  <c r="AB27" i="1"/>
  <c r="AA28" i="1"/>
  <c r="AC29" i="1"/>
  <c r="Y30" i="1"/>
  <c r="AA32" i="1"/>
  <c r="AC3" i="1"/>
  <c r="AE21" i="1" s="1"/>
  <c r="AK21" i="1" s="1"/>
  <c r="AQ21" i="1" s="1"/>
  <c r="AC4" i="1"/>
  <c r="AA9" i="1"/>
  <c r="AA13" i="1"/>
  <c r="Y15" i="1"/>
  <c r="AB16" i="1"/>
  <c r="Y19" i="1"/>
  <c r="AB20" i="1"/>
  <c r="AA21" i="1"/>
  <c r="Y23" i="1"/>
  <c r="AB24" i="1"/>
  <c r="AA25" i="1"/>
  <c r="AC26" i="1"/>
  <c r="Y27" i="1"/>
  <c r="AB28" i="1"/>
  <c r="AA29" i="1"/>
  <c r="Y31" i="1"/>
  <c r="AB32" i="1"/>
  <c r="Y13" i="1"/>
  <c r="AF16" i="1"/>
  <c r="AE16" i="1"/>
  <c r="AK16" i="1" s="1"/>
  <c r="AQ16" i="1" s="1"/>
  <c r="Y17" i="1"/>
  <c r="AA19" i="1"/>
  <c r="AF20" i="1"/>
  <c r="AE20" i="1"/>
  <c r="AK20" i="1" s="1"/>
  <c r="AQ20" i="1" s="1"/>
  <c r="Y21" i="1"/>
  <c r="AA23" i="1"/>
  <c r="Y25" i="1"/>
  <c r="AA27" i="1"/>
  <c r="AF28" i="1"/>
  <c r="AB30" i="1"/>
  <c r="AA31" i="1"/>
  <c r="AF32" i="1"/>
  <c r="AC33" i="1"/>
  <c r="Y33" i="1"/>
  <c r="AB4" i="1"/>
  <c r="Y10" i="1"/>
  <c r="AB15" i="1"/>
  <c r="Y18" i="1"/>
  <c r="AA20" i="1"/>
  <c r="AB23" i="1"/>
  <c r="AA24" i="1"/>
  <c r="AB31" i="1"/>
  <c r="AB35" i="1"/>
  <c r="Y11" i="1"/>
  <c r="AB12" i="1"/>
  <c r="AA17" i="1"/>
  <c r="AA5" i="1"/>
  <c r="AA6" i="1"/>
  <c r="AA7" i="1"/>
  <c r="AA8" i="1"/>
  <c r="AB9" i="1"/>
  <c r="AA10" i="1"/>
  <c r="AB13" i="1"/>
  <c r="AA14" i="1"/>
  <c r="AB17" i="1"/>
  <c r="AA18" i="1"/>
  <c r="AB21" i="1"/>
  <c r="AA22" i="1"/>
  <c r="AB25" i="1"/>
  <c r="AA26" i="1"/>
  <c r="AB29" i="1"/>
  <c r="AA30" i="1"/>
  <c r="AA35" i="1"/>
  <c r="AA39" i="1"/>
  <c r="AB48" i="1"/>
  <c r="AB34" i="1"/>
  <c r="AA36" i="1"/>
  <c r="AF37" i="1"/>
  <c r="AB38" i="1"/>
  <c r="AE42" i="1"/>
  <c r="AK42" i="1" s="1"/>
  <c r="AQ42" i="1" s="1"/>
  <c r="AA44" i="1"/>
  <c r="AF50" i="1"/>
  <c r="AF52" i="1"/>
  <c r="Y50" i="1"/>
  <c r="Y52" i="1"/>
  <c r="AF66" i="1"/>
  <c r="AB68" i="1"/>
  <c r="AB69" i="1"/>
  <c r="AE81" i="1"/>
  <c r="AK81" i="1" s="1"/>
  <c r="AQ81" i="1" s="1"/>
  <c r="AF42" i="1"/>
  <c r="AC34" i="1"/>
  <c r="AC38" i="1"/>
  <c r="AF45" i="1"/>
  <c r="AA47" i="1"/>
  <c r="Y49" i="1"/>
  <c r="Y51" i="1"/>
  <c r="Y53" i="1"/>
  <c r="AA56" i="1"/>
  <c r="AB61" i="1"/>
  <c r="AA63" i="1"/>
  <c r="AA72" i="1"/>
  <c r="AA79" i="1"/>
  <c r="AF81" i="1"/>
  <c r="Z59" i="1"/>
  <c r="Z58" i="1"/>
  <c r="Y4" i="1"/>
  <c r="AC35" i="1"/>
  <c r="Z35" i="1"/>
  <c r="AC39" i="1"/>
  <c r="Z39" i="1"/>
  <c r="AA43" i="1"/>
  <c r="AB47" i="1"/>
  <c r="Z48" i="1"/>
  <c r="Z49" i="1"/>
  <c r="AA50" i="1"/>
  <c r="Z51" i="1"/>
  <c r="AA52" i="1"/>
  <c r="Z53" i="1"/>
  <c r="Z54" i="1"/>
  <c r="AB58" i="1"/>
  <c r="Z61" i="1"/>
  <c r="AF62" i="1"/>
  <c r="Z62" i="1"/>
  <c r="AB63" i="1"/>
  <c r="AE73" i="1"/>
  <c r="AK73" i="1" s="1"/>
  <c r="AQ73" i="1" s="1"/>
  <c r="AF74" i="1"/>
  <c r="AB76" i="1"/>
  <c r="AB77" i="1"/>
  <c r="AC36" i="1"/>
  <c r="AC40" i="1"/>
  <c r="AB42" i="1"/>
  <c r="AE43" i="1"/>
  <c r="AK43" i="1" s="1"/>
  <c r="AQ43" i="1" s="1"/>
  <c r="AB46" i="1"/>
  <c r="AF46" i="1"/>
  <c r="AC47" i="1"/>
  <c r="Z47" i="1"/>
  <c r="AA48" i="1"/>
  <c r="AB50" i="1"/>
  <c r="AB52" i="1"/>
  <c r="AF55" i="1"/>
  <c r="Z55" i="1"/>
  <c r="Z57" i="1"/>
  <c r="Z60" i="1"/>
  <c r="AF61" i="1"/>
  <c r="AA64" i="1"/>
  <c r="AA71" i="1"/>
  <c r="AF73" i="1"/>
  <c r="Z74" i="1"/>
  <c r="Z75" i="1"/>
  <c r="AA80" i="1"/>
  <c r="Y34" i="1"/>
  <c r="Y35" i="1"/>
  <c r="Y36" i="1"/>
  <c r="Y37" i="1"/>
  <c r="Y38" i="1"/>
  <c r="Y39" i="1"/>
  <c r="Y40" i="1"/>
  <c r="AC41" i="1"/>
  <c r="Y41" i="1"/>
  <c r="AC44" i="1"/>
  <c r="AC48" i="1"/>
  <c r="AC49" i="1"/>
  <c r="Z50" i="1"/>
  <c r="AC51" i="1"/>
  <c r="Z52" i="1"/>
  <c r="AC53" i="1"/>
  <c r="AA55" i="1"/>
  <c r="AC58" i="1"/>
  <c r="AA59" i="1"/>
  <c r="AA62" i="1"/>
  <c r="AB65" i="1"/>
  <c r="AA67" i="1"/>
  <c r="AC69" i="1"/>
  <c r="AF70" i="1"/>
  <c r="AE70" i="1"/>
  <c r="AK70" i="1" s="1"/>
  <c r="AQ70" i="1" s="1"/>
  <c r="AB72" i="1"/>
  <c r="AA75" i="1"/>
  <c r="AC77" i="1"/>
  <c r="AF78" i="1"/>
  <c r="AB80" i="1"/>
  <c r="AB54" i="1"/>
  <c r="Z56" i="1"/>
  <c r="AC57" i="1"/>
  <c r="AB62" i="1"/>
  <c r="Z63" i="1"/>
  <c r="Z64" i="1"/>
  <c r="AC65" i="1"/>
  <c r="AA68" i="1"/>
  <c r="Z70" i="1"/>
  <c r="Z71" i="1"/>
  <c r="AB73" i="1"/>
  <c r="AA76" i="1"/>
  <c r="Z78" i="1"/>
  <c r="Z79" i="1"/>
  <c r="AB81" i="1"/>
  <c r="AC59" i="1"/>
  <c r="AC63" i="1"/>
  <c r="AC68" i="1"/>
  <c r="Z69" i="1"/>
  <c r="AC72" i="1"/>
  <c r="Z73" i="1"/>
  <c r="AC76" i="1"/>
  <c r="Z77" i="1"/>
  <c r="AC80" i="1"/>
  <c r="Z81" i="1"/>
  <c r="Y42" i="1"/>
  <c r="Y43" i="1"/>
  <c r="Y44" i="1"/>
  <c r="Y45" i="1"/>
  <c r="Y46" i="1"/>
  <c r="Y47" i="1"/>
  <c r="Y48" i="1"/>
  <c r="AC56" i="1"/>
  <c r="AC60" i="1"/>
  <c r="AC64" i="1"/>
  <c r="AC67" i="1"/>
  <c r="Z68" i="1"/>
  <c r="AC71" i="1"/>
  <c r="Z72" i="1"/>
  <c r="AC75" i="1"/>
  <c r="Z76" i="1"/>
  <c r="AC79" i="1"/>
  <c r="Z80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AG35" i="2" l="1"/>
  <c r="AO35" i="2" s="1"/>
  <c r="AU35" i="2" s="1"/>
  <c r="AG16" i="2"/>
  <c r="AO16" i="2" s="1"/>
  <c r="AU16" i="2" s="1"/>
  <c r="AG5" i="2"/>
  <c r="AO5" i="2" s="1"/>
  <c r="AU5" i="2" s="1"/>
  <c r="AG6" i="2"/>
  <c r="AO6" i="2" s="1"/>
  <c r="AU6" i="2" s="1"/>
  <c r="AG8" i="2"/>
  <c r="AO8" i="2" s="1"/>
  <c r="AU8" i="2" s="1"/>
  <c r="AG10" i="2"/>
  <c r="AO10" i="2" s="1"/>
  <c r="AU10" i="2" s="1"/>
  <c r="AG7" i="2"/>
  <c r="AO7" i="2" s="1"/>
  <c r="AU7" i="2" s="1"/>
  <c r="AG9" i="2"/>
  <c r="AO9" i="2" s="1"/>
  <c r="AU9" i="2" s="1"/>
  <c r="AG11" i="2"/>
  <c r="AO11" i="2" s="1"/>
  <c r="AU11" i="2" s="1"/>
  <c r="AG18" i="2"/>
  <c r="AO18" i="2" s="1"/>
  <c r="AU18" i="2" s="1"/>
  <c r="AG34" i="2"/>
  <c r="AO34" i="2" s="1"/>
  <c r="AU34" i="2" s="1"/>
  <c r="AG20" i="2"/>
  <c r="AO20" i="2" s="1"/>
  <c r="AU20" i="2" s="1"/>
  <c r="AG31" i="2"/>
  <c r="AO31" i="2" s="1"/>
  <c r="AU31" i="2" s="1"/>
  <c r="AG12" i="2"/>
  <c r="AO12" i="2" s="1"/>
  <c r="AU12" i="2" s="1"/>
  <c r="AG33" i="2"/>
  <c r="AO33" i="2" s="1"/>
  <c r="AU33" i="2" s="1"/>
  <c r="AG25" i="2"/>
  <c r="AO25" i="2" s="1"/>
  <c r="AU25" i="2" s="1"/>
  <c r="AG21" i="2"/>
  <c r="AO21" i="2" s="1"/>
  <c r="AU21" i="2" s="1"/>
  <c r="AG17" i="2"/>
  <c r="AO17" i="2" s="1"/>
  <c r="AU17" i="2" s="1"/>
  <c r="AG81" i="2"/>
  <c r="AO81" i="2" s="1"/>
  <c r="AU81" i="2" s="1"/>
  <c r="AG46" i="2"/>
  <c r="AO46" i="2" s="1"/>
  <c r="AU46" i="2" s="1"/>
  <c r="AG15" i="2"/>
  <c r="AO15" i="2" s="1"/>
  <c r="AU15" i="2" s="1"/>
  <c r="AG45" i="2"/>
  <c r="AO45" i="2" s="1"/>
  <c r="AU45" i="2" s="1"/>
  <c r="AG28" i="2"/>
  <c r="AO28" i="2" s="1"/>
  <c r="AU28" i="2" s="1"/>
  <c r="AG27" i="2"/>
  <c r="AO27" i="2" s="1"/>
  <c r="AU27" i="2" s="1"/>
  <c r="AG13" i="2"/>
  <c r="AO13" i="2" s="1"/>
  <c r="AU13" i="2" s="1"/>
  <c r="AG38" i="2"/>
  <c r="AO38" i="2" s="1"/>
  <c r="AU38" i="2" s="1"/>
  <c r="AG26" i="2"/>
  <c r="AO26" i="2" s="1"/>
  <c r="AU26" i="2" s="1"/>
  <c r="AG37" i="2"/>
  <c r="AO37" i="2" s="1"/>
  <c r="AU37" i="2" s="1"/>
  <c r="AG23" i="2"/>
  <c r="AO23" i="2" s="1"/>
  <c r="AU23" i="2" s="1"/>
  <c r="AG19" i="2"/>
  <c r="AO19" i="2" s="1"/>
  <c r="AU19" i="2" s="1"/>
  <c r="AG78" i="2"/>
  <c r="AO78" i="2" s="1"/>
  <c r="AU78" i="2" s="1"/>
  <c r="AG4" i="2"/>
  <c r="AO4" i="2" s="1"/>
  <c r="AU4" i="2" s="1"/>
  <c r="AH19" i="2"/>
  <c r="AG24" i="2"/>
  <c r="AO24" i="2" s="1"/>
  <c r="AU24" i="2" s="1"/>
  <c r="AG80" i="2"/>
  <c r="AO80" i="2" s="1"/>
  <c r="AU80" i="2" s="1"/>
  <c r="AG32" i="2"/>
  <c r="AO32" i="2" s="1"/>
  <c r="AU32" i="2" s="1"/>
  <c r="AG29" i="2"/>
  <c r="AO29" i="2" s="1"/>
  <c r="AU29" i="2" s="1"/>
  <c r="AH25" i="2"/>
  <c r="AF79" i="2"/>
  <c r="AF80" i="2"/>
  <c r="AH21" i="2"/>
  <c r="AG36" i="2"/>
  <c r="AO36" i="2" s="1"/>
  <c r="AU36" i="2" s="1"/>
  <c r="AG44" i="2"/>
  <c r="AO44" i="2" s="1"/>
  <c r="AU44" i="2" s="1"/>
  <c r="AH44" i="2"/>
  <c r="AG58" i="2"/>
  <c r="AO58" i="2" s="1"/>
  <c r="AU58" i="2" s="1"/>
  <c r="AH58" i="2"/>
  <c r="AG52" i="2"/>
  <c r="AO52" i="2" s="1"/>
  <c r="AU52" i="2" s="1"/>
  <c r="AH52" i="2"/>
  <c r="AG64" i="2"/>
  <c r="AO64" i="2" s="1"/>
  <c r="AU64" i="2" s="1"/>
  <c r="AH64" i="2"/>
  <c r="AG56" i="2"/>
  <c r="AO56" i="2" s="1"/>
  <c r="AU56" i="2" s="1"/>
  <c r="AH56" i="2"/>
  <c r="AG50" i="2"/>
  <c r="AO50" i="2" s="1"/>
  <c r="AU50" i="2" s="1"/>
  <c r="AH50" i="2"/>
  <c r="AG76" i="2"/>
  <c r="AO76" i="2" s="1"/>
  <c r="AU76" i="2" s="1"/>
  <c r="AF76" i="2"/>
  <c r="AH76" i="2"/>
  <c r="AG74" i="2"/>
  <c r="AO74" i="2" s="1"/>
  <c r="AU74" i="2" s="1"/>
  <c r="AF74" i="2"/>
  <c r="AH74" i="2"/>
  <c r="AG72" i="2"/>
  <c r="AO72" i="2" s="1"/>
  <c r="AU72" i="2" s="1"/>
  <c r="AH72" i="2"/>
  <c r="AG70" i="2"/>
  <c r="AO70" i="2" s="1"/>
  <c r="AU70" i="2" s="1"/>
  <c r="AH70" i="2"/>
  <c r="AG39" i="2"/>
  <c r="AO39" i="2" s="1"/>
  <c r="AU39" i="2" s="1"/>
  <c r="AH39" i="2"/>
  <c r="AG63" i="2"/>
  <c r="AO63" i="2" s="1"/>
  <c r="AU63" i="2" s="1"/>
  <c r="AH63" i="2"/>
  <c r="AG66" i="2"/>
  <c r="AO66" i="2" s="1"/>
  <c r="AU66" i="2" s="1"/>
  <c r="AH66" i="2"/>
  <c r="AG54" i="2"/>
  <c r="AO54" i="2" s="1"/>
  <c r="AU54" i="2" s="1"/>
  <c r="AH54" i="2"/>
  <c r="AG69" i="2"/>
  <c r="AO69" i="2" s="1"/>
  <c r="AU69" i="2" s="1"/>
  <c r="AH69" i="2"/>
  <c r="AG61" i="2"/>
  <c r="AO61" i="2" s="1"/>
  <c r="AU61" i="2" s="1"/>
  <c r="AH61" i="2"/>
  <c r="AH47" i="2"/>
  <c r="AG47" i="2"/>
  <c r="AO47" i="2" s="1"/>
  <c r="AU47" i="2" s="1"/>
  <c r="AH42" i="2"/>
  <c r="AG42" i="2"/>
  <c r="AO42" i="2" s="1"/>
  <c r="AU42" i="2" s="1"/>
  <c r="AG48" i="2"/>
  <c r="AO48" i="2" s="1"/>
  <c r="AU48" i="2" s="1"/>
  <c r="AH48" i="2"/>
  <c r="AG65" i="2"/>
  <c r="AO65" i="2" s="1"/>
  <c r="AU65" i="2" s="1"/>
  <c r="AH65" i="2"/>
  <c r="AG60" i="2"/>
  <c r="AO60" i="2" s="1"/>
  <c r="AU60" i="2" s="1"/>
  <c r="AH60" i="2"/>
  <c r="AG55" i="2"/>
  <c r="AO55" i="2" s="1"/>
  <c r="AU55" i="2" s="1"/>
  <c r="AH55" i="2"/>
  <c r="AG49" i="2"/>
  <c r="AO49" i="2" s="1"/>
  <c r="AU49" i="2" s="1"/>
  <c r="AH49" i="2"/>
  <c r="AG67" i="2"/>
  <c r="AO67" i="2" s="1"/>
  <c r="AU67" i="2" s="1"/>
  <c r="AH67" i="2"/>
  <c r="AG57" i="2"/>
  <c r="AO57" i="2" s="1"/>
  <c r="AU57" i="2" s="1"/>
  <c r="AH57" i="2"/>
  <c r="AG51" i="2"/>
  <c r="AO51" i="2" s="1"/>
  <c r="AU51" i="2" s="1"/>
  <c r="AH51" i="2"/>
  <c r="AH41" i="2"/>
  <c r="AG41" i="2"/>
  <c r="AO41" i="2" s="1"/>
  <c r="AU41" i="2" s="1"/>
  <c r="AG68" i="2"/>
  <c r="AO68" i="2" s="1"/>
  <c r="AU68" i="2" s="1"/>
  <c r="AH68" i="2"/>
  <c r="AG62" i="2"/>
  <c r="AO62" i="2" s="1"/>
  <c r="AU62" i="2" s="1"/>
  <c r="AH62" i="2"/>
  <c r="AG59" i="2"/>
  <c r="AO59" i="2" s="1"/>
  <c r="AU59" i="2" s="1"/>
  <c r="AH59" i="2"/>
  <c r="AG53" i="2"/>
  <c r="AO53" i="2" s="1"/>
  <c r="AU53" i="2" s="1"/>
  <c r="AH53" i="2"/>
  <c r="AH43" i="2"/>
  <c r="AG43" i="2"/>
  <c r="AO43" i="2" s="1"/>
  <c r="AU43" i="2" s="1"/>
  <c r="AF81" i="2"/>
  <c r="AG40" i="2"/>
  <c r="AO40" i="2" s="1"/>
  <c r="AU40" i="2" s="1"/>
  <c r="AH40" i="2"/>
  <c r="AF78" i="2"/>
  <c r="AG77" i="2"/>
  <c r="AO77" i="2" s="1"/>
  <c r="AU77" i="2" s="1"/>
  <c r="AF77" i="2"/>
  <c r="AH77" i="2"/>
  <c r="AG75" i="2"/>
  <c r="AO75" i="2" s="1"/>
  <c r="AU75" i="2" s="1"/>
  <c r="AF75" i="2"/>
  <c r="AH75" i="2"/>
  <c r="AG73" i="2"/>
  <c r="AO73" i="2" s="1"/>
  <c r="AU73" i="2" s="1"/>
  <c r="AH73" i="2"/>
  <c r="AG71" i="2"/>
  <c r="AO71" i="2" s="1"/>
  <c r="AU71" i="2" s="1"/>
  <c r="AH71" i="2"/>
  <c r="AE54" i="1"/>
  <c r="AK54" i="1" s="1"/>
  <c r="AQ54" i="1" s="1"/>
  <c r="AE46" i="1"/>
  <c r="AK46" i="1" s="1"/>
  <c r="AQ46" i="1" s="1"/>
  <c r="AE50" i="1"/>
  <c r="AK50" i="1" s="1"/>
  <c r="AQ50" i="1" s="1"/>
  <c r="AE31" i="1"/>
  <c r="AK31" i="1" s="1"/>
  <c r="AQ31" i="1" s="1"/>
  <c r="AE5" i="1"/>
  <c r="AK5" i="1" s="1"/>
  <c r="AQ5" i="1" s="1"/>
  <c r="AE27" i="1"/>
  <c r="AK27" i="1" s="1"/>
  <c r="AQ27" i="1" s="1"/>
  <c r="AE14" i="1"/>
  <c r="AK14" i="1" s="1"/>
  <c r="AQ14" i="1" s="1"/>
  <c r="AE74" i="1"/>
  <c r="AK74" i="1" s="1"/>
  <c r="AQ74" i="1" s="1"/>
  <c r="AE61" i="1"/>
  <c r="AK61" i="1" s="1"/>
  <c r="AQ61" i="1" s="1"/>
  <c r="AE32" i="1"/>
  <c r="AK32" i="1" s="1"/>
  <c r="AQ32" i="1" s="1"/>
  <c r="AE28" i="1"/>
  <c r="AK28" i="1" s="1"/>
  <c r="AQ28" i="1" s="1"/>
  <c r="AE7" i="1"/>
  <c r="AK7" i="1" s="1"/>
  <c r="AQ7" i="1" s="1"/>
  <c r="AE78" i="1"/>
  <c r="AK78" i="1" s="1"/>
  <c r="AQ78" i="1" s="1"/>
  <c r="AE55" i="1"/>
  <c r="AK55" i="1" s="1"/>
  <c r="AQ55" i="1" s="1"/>
  <c r="AE62" i="1"/>
  <c r="AK62" i="1" s="1"/>
  <c r="AQ62" i="1" s="1"/>
  <c r="AE66" i="1"/>
  <c r="AK66" i="1" s="1"/>
  <c r="AQ66" i="1" s="1"/>
  <c r="AE52" i="1"/>
  <c r="AK52" i="1" s="1"/>
  <c r="AQ52" i="1" s="1"/>
  <c r="AE22" i="1"/>
  <c r="AK22" i="1" s="1"/>
  <c r="AQ22" i="1" s="1"/>
  <c r="AE23" i="1"/>
  <c r="AK23" i="1" s="1"/>
  <c r="AQ23" i="1" s="1"/>
  <c r="AE25" i="1"/>
  <c r="AK25" i="1" s="1"/>
  <c r="AQ25" i="1" s="1"/>
  <c r="AE9" i="1"/>
  <c r="AK9" i="1" s="1"/>
  <c r="AQ9" i="1" s="1"/>
  <c r="AE19" i="1"/>
  <c r="AK19" i="1" s="1"/>
  <c r="AQ19" i="1" s="1"/>
  <c r="AD21" i="1"/>
  <c r="AD75" i="1"/>
  <c r="AF75" i="1"/>
  <c r="AE75" i="1"/>
  <c r="AK75" i="1" s="1"/>
  <c r="AQ75" i="1" s="1"/>
  <c r="AD67" i="1"/>
  <c r="AF67" i="1"/>
  <c r="AE67" i="1"/>
  <c r="AK67" i="1" s="1"/>
  <c r="AQ67" i="1" s="1"/>
  <c r="AD80" i="1"/>
  <c r="AE80" i="1"/>
  <c r="AK80" i="1" s="1"/>
  <c r="AQ80" i="1" s="1"/>
  <c r="AF80" i="1"/>
  <c r="AD72" i="1"/>
  <c r="AE72" i="1"/>
  <c r="AK72" i="1" s="1"/>
  <c r="AQ72" i="1" s="1"/>
  <c r="AF72" i="1"/>
  <c r="AF59" i="1"/>
  <c r="AE59" i="1"/>
  <c r="AK59" i="1" s="1"/>
  <c r="AQ59" i="1" s="1"/>
  <c r="AD59" i="1"/>
  <c r="AD77" i="1"/>
  <c r="AE77" i="1"/>
  <c r="AK77" i="1" s="1"/>
  <c r="AQ77" i="1" s="1"/>
  <c r="AF77" i="1"/>
  <c r="AD55" i="1"/>
  <c r="AE40" i="1"/>
  <c r="AK40" i="1" s="1"/>
  <c r="AQ40" i="1" s="1"/>
  <c r="AD40" i="1"/>
  <c r="AF40" i="1"/>
  <c r="AD73" i="1"/>
  <c r="AF39" i="1"/>
  <c r="AE39" i="1"/>
  <c r="AK39" i="1" s="1"/>
  <c r="AQ39" i="1" s="1"/>
  <c r="AD39" i="1"/>
  <c r="AD23" i="1"/>
  <c r="AD9" i="1"/>
  <c r="AD7" i="1"/>
  <c r="AD14" i="1"/>
  <c r="AE64" i="1"/>
  <c r="AK64" i="1" s="1"/>
  <c r="AQ64" i="1" s="1"/>
  <c r="AD64" i="1"/>
  <c r="AF64" i="1"/>
  <c r="AD65" i="1"/>
  <c r="AE65" i="1"/>
  <c r="AK65" i="1" s="1"/>
  <c r="AQ65" i="1" s="1"/>
  <c r="AF65" i="1"/>
  <c r="AE36" i="1"/>
  <c r="AK36" i="1" s="1"/>
  <c r="AQ36" i="1" s="1"/>
  <c r="AD36" i="1"/>
  <c r="AF36" i="1"/>
  <c r="AD45" i="1"/>
  <c r="AD13" i="1"/>
  <c r="AD43" i="1"/>
  <c r="AD50" i="1"/>
  <c r="AD33" i="1"/>
  <c r="AF33" i="1"/>
  <c r="AE33" i="1"/>
  <c r="AK33" i="1" s="1"/>
  <c r="AQ33" i="1" s="1"/>
  <c r="AD31" i="1"/>
  <c r="AD27" i="1"/>
  <c r="AD53" i="1"/>
  <c r="AE53" i="1"/>
  <c r="AK53" i="1" s="1"/>
  <c r="AQ53" i="1" s="1"/>
  <c r="AF53" i="1"/>
  <c r="AD41" i="1"/>
  <c r="AE41" i="1"/>
  <c r="AK41" i="1" s="1"/>
  <c r="AQ41" i="1" s="1"/>
  <c r="AF41" i="1"/>
  <c r="AD52" i="1"/>
  <c r="AD20" i="1"/>
  <c r="AD24" i="1"/>
  <c r="AD12" i="1"/>
  <c r="AD11" i="1"/>
  <c r="AD79" i="1"/>
  <c r="AF79" i="1"/>
  <c r="AE79" i="1"/>
  <c r="AK79" i="1" s="1"/>
  <c r="AQ79" i="1" s="1"/>
  <c r="AD71" i="1"/>
  <c r="AF71" i="1"/>
  <c r="AE71" i="1"/>
  <c r="AK71" i="1" s="1"/>
  <c r="AQ71" i="1" s="1"/>
  <c r="AE60" i="1"/>
  <c r="AK60" i="1" s="1"/>
  <c r="AQ60" i="1" s="1"/>
  <c r="AD60" i="1"/>
  <c r="AF60" i="1"/>
  <c r="AD76" i="1"/>
  <c r="AF76" i="1"/>
  <c r="AE76" i="1"/>
  <c r="AK76" i="1" s="1"/>
  <c r="AQ76" i="1" s="1"/>
  <c r="AD68" i="1"/>
  <c r="AF68" i="1"/>
  <c r="AE68" i="1"/>
  <c r="AK68" i="1" s="1"/>
  <c r="AQ68" i="1" s="1"/>
  <c r="AD69" i="1"/>
  <c r="AE69" i="1"/>
  <c r="AK69" i="1" s="1"/>
  <c r="AQ69" i="1" s="1"/>
  <c r="AF69" i="1"/>
  <c r="AF48" i="1"/>
  <c r="AE48" i="1"/>
  <c r="AK48" i="1" s="1"/>
  <c r="AQ48" i="1" s="1"/>
  <c r="AD74" i="1"/>
  <c r="AD54" i="1"/>
  <c r="AD42" i="1"/>
  <c r="AF35" i="1"/>
  <c r="AE35" i="1"/>
  <c r="AK35" i="1" s="1"/>
  <c r="AQ35" i="1" s="1"/>
  <c r="AD35" i="1"/>
  <c r="AF38" i="1"/>
  <c r="AE38" i="1"/>
  <c r="AK38" i="1" s="1"/>
  <c r="AQ38" i="1" s="1"/>
  <c r="AD38" i="1"/>
  <c r="AD81" i="1"/>
  <c r="AD46" i="1"/>
  <c r="AD28" i="1"/>
  <c r="AD16" i="1"/>
  <c r="AF4" i="1"/>
  <c r="AE4" i="1"/>
  <c r="AK4" i="1" s="1"/>
  <c r="AQ4" i="1" s="1"/>
  <c r="AC2" i="1"/>
  <c r="AD4" i="1"/>
  <c r="AF29" i="1"/>
  <c r="AE29" i="1"/>
  <c r="AK29" i="1" s="1"/>
  <c r="AQ29" i="1" s="1"/>
  <c r="AD29" i="1"/>
  <c r="AE24" i="1"/>
  <c r="AK24" i="1" s="1"/>
  <c r="AQ24" i="1" s="1"/>
  <c r="AE12" i="1"/>
  <c r="AK12" i="1" s="1"/>
  <c r="AQ12" i="1" s="1"/>
  <c r="AD15" i="1"/>
  <c r="AE13" i="1"/>
  <c r="AK13" i="1" s="1"/>
  <c r="AQ13" i="1" s="1"/>
  <c r="AD17" i="1"/>
  <c r="AD8" i="1"/>
  <c r="AD18" i="1"/>
  <c r="AE11" i="1"/>
  <c r="AK11" i="1" s="1"/>
  <c r="AQ11" i="1" s="1"/>
  <c r="AD30" i="1"/>
  <c r="AD10" i="1"/>
  <c r="AD6" i="1"/>
  <c r="AD57" i="1"/>
  <c r="AF57" i="1"/>
  <c r="AE57" i="1"/>
  <c r="AK57" i="1" s="1"/>
  <c r="AQ57" i="1" s="1"/>
  <c r="AD70" i="1"/>
  <c r="AD49" i="1"/>
  <c r="AE49" i="1"/>
  <c r="AK49" i="1" s="1"/>
  <c r="AQ49" i="1" s="1"/>
  <c r="AF49" i="1"/>
  <c r="AD37" i="1"/>
  <c r="AD32" i="1"/>
  <c r="AE56" i="1"/>
  <c r="AK56" i="1" s="1"/>
  <c r="AQ56" i="1" s="1"/>
  <c r="AD56" i="1"/>
  <c r="AF56" i="1"/>
  <c r="AF63" i="1"/>
  <c r="AE63" i="1"/>
  <c r="AK63" i="1" s="1"/>
  <c r="AQ63" i="1" s="1"/>
  <c r="AD63" i="1"/>
  <c r="AD78" i="1"/>
  <c r="AF58" i="1"/>
  <c r="AD58" i="1"/>
  <c r="AE58" i="1"/>
  <c r="AK58" i="1" s="1"/>
  <c r="AQ58" i="1" s="1"/>
  <c r="AD51" i="1"/>
  <c r="AE51" i="1"/>
  <c r="AK51" i="1" s="1"/>
  <c r="AQ51" i="1" s="1"/>
  <c r="AF51" i="1"/>
  <c r="AE44" i="1"/>
  <c r="AK44" i="1" s="1"/>
  <c r="AQ44" i="1" s="1"/>
  <c r="AF44" i="1"/>
  <c r="AD44" i="1"/>
  <c r="AD62" i="1"/>
  <c r="AF47" i="1"/>
  <c r="AE47" i="1"/>
  <c r="AK47" i="1" s="1"/>
  <c r="AQ47" i="1" s="1"/>
  <c r="AD47" i="1"/>
  <c r="AD61" i="1"/>
  <c r="AF34" i="1"/>
  <c r="AE34" i="1"/>
  <c r="AK34" i="1" s="1"/>
  <c r="AQ34" i="1" s="1"/>
  <c r="AD34" i="1"/>
  <c r="AD66" i="1"/>
  <c r="AF26" i="1"/>
  <c r="AE26" i="1"/>
  <c r="AK26" i="1" s="1"/>
  <c r="AQ26" i="1" s="1"/>
  <c r="AD26" i="1"/>
  <c r="AE45" i="1"/>
  <c r="AK45" i="1" s="1"/>
  <c r="AQ45" i="1" s="1"/>
  <c r="AE37" i="1"/>
  <c r="AK37" i="1" s="1"/>
  <c r="AQ37" i="1" s="1"/>
  <c r="AD22" i="1"/>
  <c r="AE15" i="1"/>
  <c r="AK15" i="1" s="1"/>
  <c r="AQ15" i="1" s="1"/>
  <c r="AD5" i="1"/>
  <c r="AE17" i="1"/>
  <c r="AK17" i="1" s="1"/>
  <c r="AQ17" i="1" s="1"/>
  <c r="AE8" i="1"/>
  <c r="AK8" i="1" s="1"/>
  <c r="AQ8" i="1" s="1"/>
  <c r="AD25" i="1"/>
  <c r="AE18" i="1"/>
  <c r="AK18" i="1" s="1"/>
  <c r="AQ18" i="1" s="1"/>
  <c r="AE30" i="1"/>
  <c r="AK30" i="1" s="1"/>
  <c r="AQ30" i="1" s="1"/>
  <c r="AD19" i="1"/>
  <c r="AE10" i="1"/>
  <c r="AK10" i="1" s="1"/>
  <c r="AQ10" i="1" s="1"/>
  <c r="AE6" i="1"/>
  <c r="AK6" i="1" s="1"/>
  <c r="AQ6" i="1" s="1"/>
</calcChain>
</file>

<file path=xl/sharedStrings.xml><?xml version="1.0" encoding="utf-8"?>
<sst xmlns="http://schemas.openxmlformats.org/spreadsheetml/2006/main" count="412" uniqueCount="193">
  <si>
    <t xml:space="preserve"> 내신
1차시
(10/29,30)</t>
    <phoneticPr fontId="6" type="noConversion"/>
  </si>
  <si>
    <t>문제 유형</t>
    <phoneticPr fontId="6" type="noConversion"/>
  </si>
  <si>
    <t>정답률 분석</t>
    <phoneticPr fontId="6" type="noConversion"/>
  </si>
  <si>
    <t>반평균</t>
    <phoneticPr fontId="6" type="noConversion"/>
  </si>
  <si>
    <t>개인
석차
(70명중)</t>
    <phoneticPr fontId="6" type="noConversion"/>
  </si>
  <si>
    <t xml:space="preserve">재시여부 </t>
    <phoneticPr fontId="6" type="noConversion"/>
  </si>
  <si>
    <t>과제
실시여부</t>
    <phoneticPr fontId="6" type="noConversion"/>
  </si>
  <si>
    <t xml:space="preserve">누적
경고
횟수
(재시
미행)
</t>
    <phoneticPr fontId="6" type="noConversion"/>
  </si>
  <si>
    <t>결시자 
자료송부 여부
(동강 및 과제)</t>
    <phoneticPr fontId="6" type="noConversion"/>
  </si>
  <si>
    <t>교재비
(만원)</t>
    <phoneticPr fontId="6" type="noConversion"/>
  </si>
  <si>
    <t>수능형 추론 (순서, 삽입, 무관) + MD</t>
    <phoneticPr fontId="6" type="noConversion"/>
  </si>
  <si>
    <t>내용추론 / 문맥추론</t>
    <phoneticPr fontId="6" type="noConversion"/>
  </si>
  <si>
    <t>어법</t>
    <phoneticPr fontId="6" type="noConversion"/>
  </si>
  <si>
    <t>영작</t>
    <phoneticPr fontId="6" type="noConversion"/>
  </si>
  <si>
    <t>문제
유형</t>
    <phoneticPr fontId="6" type="noConversion"/>
  </si>
  <si>
    <t>수능
추론
MD</t>
    <phoneticPr fontId="6" type="noConversion"/>
  </si>
  <si>
    <t>내용
문맥</t>
    <phoneticPr fontId="6" type="noConversion"/>
  </si>
  <si>
    <t>어법</t>
    <phoneticPr fontId="6" type="noConversion"/>
  </si>
  <si>
    <t>영작</t>
    <phoneticPr fontId="6" type="noConversion"/>
  </si>
  <si>
    <t>맞은
개수</t>
    <phoneticPr fontId="6" type="noConversion"/>
  </si>
  <si>
    <t>자동환산</t>
    <phoneticPr fontId="6" type="noConversion"/>
  </si>
  <si>
    <t>미니모고
 (70%이상pass)</t>
    <phoneticPr fontId="6" type="noConversion"/>
  </si>
  <si>
    <t>빈칸
(70%이상)</t>
    <phoneticPr fontId="6" type="noConversion"/>
  </si>
  <si>
    <t>단어시험
 (70%이상pass)</t>
    <phoneticPr fontId="6" type="noConversion"/>
  </si>
  <si>
    <t>미니모고</t>
    <phoneticPr fontId="6" type="noConversion"/>
  </si>
  <si>
    <t>빈칸</t>
    <phoneticPr fontId="6" type="noConversion"/>
  </si>
  <si>
    <t>단어</t>
    <phoneticPr fontId="6" type="noConversion"/>
  </si>
  <si>
    <t>수능미니모고</t>
    <phoneticPr fontId="6" type="noConversion"/>
  </si>
  <si>
    <t>어법어휘</t>
    <phoneticPr fontId="6" type="noConversion"/>
  </si>
  <si>
    <t>오답노트</t>
    <phoneticPr fontId="6" type="noConversion"/>
  </si>
  <si>
    <t>4회
누적시 페널티</t>
    <phoneticPr fontId="6" type="noConversion"/>
  </si>
  <si>
    <t>당일
진도</t>
    <phoneticPr fontId="6" type="noConversion"/>
  </si>
  <si>
    <t>부여
과제</t>
    <phoneticPr fontId="6" type="noConversion"/>
  </si>
  <si>
    <t>한영1
(토,일)</t>
    <phoneticPr fontId="6" type="noConversion"/>
  </si>
  <si>
    <t>강보경</t>
    <phoneticPr fontId="6" type="noConversion"/>
  </si>
  <si>
    <t>P</t>
    <phoneticPr fontId="6" type="noConversion"/>
  </si>
  <si>
    <t>x</t>
    <phoneticPr fontId="6" type="noConversion"/>
  </si>
  <si>
    <t>MD
33-34</t>
    <phoneticPr fontId="6" type="noConversion"/>
  </si>
  <si>
    <t>MD
35-36</t>
    <phoneticPr fontId="6" type="noConversion"/>
  </si>
  <si>
    <t>토</t>
    <phoneticPr fontId="6" type="noConversion"/>
  </si>
  <si>
    <t>강예빈</t>
    <phoneticPr fontId="6" type="noConversion"/>
  </si>
  <si>
    <t>P</t>
    <phoneticPr fontId="6" type="noConversion"/>
  </si>
  <si>
    <t>능김심6과, 망고본문1</t>
    <phoneticPr fontId="6" type="noConversion"/>
  </si>
  <si>
    <t>미니모고준비</t>
    <phoneticPr fontId="6" type="noConversion"/>
  </si>
  <si>
    <t>일</t>
    <phoneticPr fontId="6" type="noConversion"/>
  </si>
  <si>
    <t>강재준</t>
    <phoneticPr fontId="6" type="noConversion"/>
  </si>
  <si>
    <t>P</t>
    <phoneticPr fontId="6" type="noConversion"/>
  </si>
  <si>
    <t>X</t>
    <phoneticPr fontId="6" type="noConversion"/>
  </si>
  <si>
    <t>잔여문제전부풀기</t>
    <phoneticPr fontId="6" type="noConversion"/>
  </si>
  <si>
    <t>계지윤</t>
    <phoneticPr fontId="6" type="noConversion"/>
  </si>
  <si>
    <t>잔여문제전부풀기</t>
    <phoneticPr fontId="6" type="noConversion"/>
  </si>
  <si>
    <t>김기범</t>
    <phoneticPr fontId="6" type="noConversion"/>
  </si>
  <si>
    <t>P</t>
    <phoneticPr fontId="6" type="noConversion"/>
  </si>
  <si>
    <t>김기원</t>
    <phoneticPr fontId="6" type="noConversion"/>
  </si>
  <si>
    <t>P</t>
    <phoneticPr fontId="6" type="noConversion"/>
  </si>
  <si>
    <t>김도이</t>
    <phoneticPr fontId="6" type="noConversion"/>
  </si>
  <si>
    <t>P</t>
    <phoneticPr fontId="6" type="noConversion"/>
  </si>
  <si>
    <t>F</t>
    <phoneticPr fontId="6" type="noConversion"/>
  </si>
  <si>
    <t>O</t>
    <phoneticPr fontId="6" type="noConversion"/>
  </si>
  <si>
    <t>김도형</t>
    <phoneticPr fontId="6" type="noConversion"/>
  </si>
  <si>
    <t>김민아</t>
    <phoneticPr fontId="6" type="noConversion"/>
  </si>
  <si>
    <t>P</t>
    <phoneticPr fontId="6" type="noConversion"/>
  </si>
  <si>
    <t>김서윤</t>
    <phoneticPr fontId="6" type="noConversion"/>
  </si>
  <si>
    <t>P</t>
    <phoneticPr fontId="6" type="noConversion"/>
  </si>
  <si>
    <t>O</t>
    <phoneticPr fontId="6" type="noConversion"/>
  </si>
  <si>
    <t>김상원</t>
    <phoneticPr fontId="6" type="noConversion"/>
  </si>
  <si>
    <t>김소람</t>
    <phoneticPr fontId="6" type="noConversion"/>
  </si>
  <si>
    <t>P</t>
    <phoneticPr fontId="6" type="noConversion"/>
  </si>
  <si>
    <t>김수지</t>
    <phoneticPr fontId="6" type="noConversion"/>
  </si>
  <si>
    <t>P</t>
    <phoneticPr fontId="6" type="noConversion"/>
  </si>
  <si>
    <t>김연주</t>
    <phoneticPr fontId="6" type="noConversion"/>
  </si>
  <si>
    <t>김영애</t>
    <phoneticPr fontId="6" type="noConversion"/>
  </si>
  <si>
    <t>P</t>
    <phoneticPr fontId="6" type="noConversion"/>
  </si>
  <si>
    <t>김윤정</t>
    <phoneticPr fontId="6" type="noConversion"/>
  </si>
  <si>
    <t>김지형</t>
    <phoneticPr fontId="6" type="noConversion"/>
  </si>
  <si>
    <t>P</t>
    <phoneticPr fontId="6" type="noConversion"/>
  </si>
  <si>
    <t>김채은</t>
    <phoneticPr fontId="6" type="noConversion"/>
  </si>
  <si>
    <t>김태용</t>
    <phoneticPr fontId="6" type="noConversion"/>
  </si>
  <si>
    <t>김희림</t>
    <phoneticPr fontId="6" type="noConversion"/>
  </si>
  <si>
    <t>남우원</t>
    <phoneticPr fontId="6" type="noConversion"/>
  </si>
  <si>
    <t>P</t>
    <phoneticPr fontId="6" type="noConversion"/>
  </si>
  <si>
    <t>문가연</t>
    <phoneticPr fontId="6" type="noConversion"/>
  </si>
  <si>
    <t>민희진</t>
    <phoneticPr fontId="6" type="noConversion"/>
  </si>
  <si>
    <t>X</t>
    <phoneticPr fontId="6" type="noConversion"/>
  </si>
  <si>
    <t>박세진</t>
    <phoneticPr fontId="6" type="noConversion"/>
  </si>
  <si>
    <t>박수빈</t>
    <phoneticPr fontId="6" type="noConversion"/>
  </si>
  <si>
    <t>박예린</t>
    <phoneticPr fontId="6" type="noConversion"/>
  </si>
  <si>
    <t>박용찬</t>
    <phoneticPr fontId="6" type="noConversion"/>
  </si>
  <si>
    <t>박재은</t>
    <phoneticPr fontId="6" type="noConversion"/>
  </si>
  <si>
    <t>박지윤</t>
    <phoneticPr fontId="6" type="noConversion"/>
  </si>
  <si>
    <t>N/A</t>
    <phoneticPr fontId="6" type="noConversion"/>
  </si>
  <si>
    <t>박지은</t>
    <phoneticPr fontId="6" type="noConversion"/>
  </si>
  <si>
    <t>박혜린</t>
    <phoneticPr fontId="6" type="noConversion"/>
  </si>
  <si>
    <t>백지윤</t>
    <phoneticPr fontId="6" type="noConversion"/>
  </si>
  <si>
    <t>송채원</t>
    <phoneticPr fontId="6" type="noConversion"/>
  </si>
  <si>
    <t>신민구</t>
    <phoneticPr fontId="6" type="noConversion"/>
  </si>
  <si>
    <t>심미지</t>
    <phoneticPr fontId="6" type="noConversion"/>
  </si>
  <si>
    <t>윤예지</t>
    <phoneticPr fontId="6" type="noConversion"/>
  </si>
  <si>
    <t>윤종현</t>
    <phoneticPr fontId="6" type="noConversion"/>
  </si>
  <si>
    <t>은지현</t>
    <phoneticPr fontId="6" type="noConversion"/>
  </si>
  <si>
    <t>이경은</t>
    <phoneticPr fontId="6" type="noConversion"/>
  </si>
  <si>
    <t>이기주</t>
    <phoneticPr fontId="6" type="noConversion"/>
  </si>
  <si>
    <t>이다은</t>
    <phoneticPr fontId="6" type="noConversion"/>
  </si>
  <si>
    <t>O</t>
    <phoneticPr fontId="6" type="noConversion"/>
  </si>
  <si>
    <t>이시현</t>
    <phoneticPr fontId="6" type="noConversion"/>
  </si>
  <si>
    <t>이영서A</t>
    <phoneticPr fontId="6" type="noConversion"/>
  </si>
  <si>
    <t>이영서B</t>
    <phoneticPr fontId="6" type="noConversion"/>
  </si>
  <si>
    <t>이예원</t>
    <phoneticPr fontId="6" type="noConversion"/>
  </si>
  <si>
    <t>이윤서</t>
    <phoneticPr fontId="6" type="noConversion"/>
  </si>
  <si>
    <t>이주은</t>
    <phoneticPr fontId="6" type="noConversion"/>
  </si>
  <si>
    <t>이지민</t>
    <phoneticPr fontId="6" type="noConversion"/>
  </si>
  <si>
    <t>이지수</t>
    <phoneticPr fontId="6" type="noConversion"/>
  </si>
  <si>
    <t>이지안</t>
    <phoneticPr fontId="6" type="noConversion"/>
  </si>
  <si>
    <t>이지유</t>
    <phoneticPr fontId="6" type="noConversion"/>
  </si>
  <si>
    <t>이채원</t>
    <phoneticPr fontId="6" type="noConversion"/>
  </si>
  <si>
    <t>이혜승</t>
    <phoneticPr fontId="6" type="noConversion"/>
  </si>
  <si>
    <t>임다희</t>
    <phoneticPr fontId="6" type="noConversion"/>
  </si>
  <si>
    <t>임예원</t>
    <phoneticPr fontId="6" type="noConversion"/>
  </si>
  <si>
    <t>장효준</t>
    <phoneticPr fontId="6" type="noConversion"/>
  </si>
  <si>
    <t>전민지</t>
    <phoneticPr fontId="6" type="noConversion"/>
  </si>
  <si>
    <t>전이준</t>
    <phoneticPr fontId="6" type="noConversion"/>
  </si>
  <si>
    <t>정예림</t>
    <phoneticPr fontId="6" type="noConversion"/>
  </si>
  <si>
    <t>조수아</t>
    <phoneticPr fontId="6" type="noConversion"/>
  </si>
  <si>
    <t>조윤희</t>
    <phoneticPr fontId="6" type="noConversion"/>
  </si>
  <si>
    <t>조승찬</t>
    <phoneticPr fontId="6" type="noConversion"/>
  </si>
  <si>
    <t>지혁주</t>
    <phoneticPr fontId="6" type="noConversion"/>
  </si>
  <si>
    <t>차유림</t>
    <phoneticPr fontId="6" type="noConversion"/>
  </si>
  <si>
    <t>최건호</t>
    <phoneticPr fontId="6" type="noConversion"/>
  </si>
  <si>
    <t>최지민</t>
    <phoneticPr fontId="6" type="noConversion"/>
  </si>
  <si>
    <t>한성범</t>
    <phoneticPr fontId="6" type="noConversion"/>
  </si>
  <si>
    <t>현지원</t>
    <phoneticPr fontId="6" type="noConversion"/>
  </si>
  <si>
    <t>전화요망</t>
    <phoneticPr fontId="6" type="noConversion"/>
  </si>
  <si>
    <t>홍명지</t>
    <phoneticPr fontId="6" type="noConversion"/>
  </si>
  <si>
    <t>홍지혁</t>
    <phoneticPr fontId="6" type="noConversion"/>
  </si>
  <si>
    <t>예비</t>
    <phoneticPr fontId="6" type="noConversion"/>
  </si>
  <si>
    <t>예비</t>
    <phoneticPr fontId="6" type="noConversion"/>
  </si>
  <si>
    <t>P</t>
    <phoneticPr fontId="6" type="noConversion"/>
  </si>
  <si>
    <t>(조교
주의사항)
입력방법</t>
    <phoneticPr fontId="6" type="noConversion"/>
  </si>
  <si>
    <t>자동
환산</t>
    <phoneticPr fontId="6" type="noConversion"/>
  </si>
  <si>
    <t>수기입력 
(맞음 = 1, 틀림 = 0)</t>
    <phoneticPr fontId="6" type="noConversion"/>
  </si>
  <si>
    <t>수기입력
 (맞음=1,
 틀림=0)</t>
    <phoneticPr fontId="6" type="noConversion"/>
  </si>
  <si>
    <t>자동환산</t>
    <phoneticPr fontId="6" type="noConversion"/>
  </si>
  <si>
    <t>수기입력
(P/F/NA)</t>
    <phoneticPr fontId="6" type="noConversion"/>
  </si>
  <si>
    <t>자동환산 후
재시 합격시 O 수기로
재표기</t>
    <phoneticPr fontId="6" type="noConversion"/>
  </si>
  <si>
    <t>수기로 O/X 표기</t>
    <phoneticPr fontId="6" type="noConversion"/>
  </si>
  <si>
    <r>
      <t xml:space="preserve">자동
환산
</t>
    </r>
    <r>
      <rPr>
        <sz val="7"/>
        <color rgb="FFFF0000"/>
        <rFont val="맑은 고딕"/>
        <family val="3"/>
        <charset val="129"/>
        <scheme val="minor"/>
      </rPr>
      <t>(RED표시)</t>
    </r>
    <phoneticPr fontId="6" type="noConversion"/>
  </si>
  <si>
    <t>강사가 입력</t>
    <phoneticPr fontId="6" type="noConversion"/>
  </si>
  <si>
    <t>P</t>
    <phoneticPr fontId="6" type="noConversion"/>
  </si>
  <si>
    <t>$AQ$1</t>
  </si>
  <si>
    <t>hello</t>
    <phoneticPr fontId="6" type="noConversion"/>
  </si>
  <si>
    <t>토</t>
    <phoneticPr fontId="6" type="noConversion"/>
  </si>
  <si>
    <t>일</t>
    <phoneticPr fontId="6" type="noConversion"/>
  </si>
  <si>
    <t>배휘동</t>
    <phoneticPr fontId="6" type="noConversion"/>
  </si>
  <si>
    <t>토</t>
    <phoneticPr fontId="6" type="noConversion"/>
  </si>
  <si>
    <t>일</t>
    <phoneticPr fontId="6" type="noConversion"/>
  </si>
  <si>
    <t>토</t>
    <phoneticPr fontId="6" type="noConversion"/>
  </si>
  <si>
    <t>토</t>
    <phoneticPr fontId="6" type="noConversion"/>
  </si>
  <si>
    <t>일</t>
    <phoneticPr fontId="6" type="noConversion"/>
  </si>
  <si>
    <t>일</t>
    <phoneticPr fontId="6" type="noConversion"/>
  </si>
  <si>
    <t>라</t>
    <phoneticPr fontId="6" type="noConversion"/>
  </si>
  <si>
    <t>마</t>
    <phoneticPr fontId="6" type="noConversion"/>
  </si>
  <si>
    <t>바</t>
    <phoneticPr fontId="6" type="noConversion"/>
  </si>
  <si>
    <t>1차</t>
    <phoneticPr fontId="6" type="noConversion"/>
  </si>
  <si>
    <t>유형</t>
    <phoneticPr fontId="6" type="noConversion"/>
  </si>
  <si>
    <t>정답률</t>
    <phoneticPr fontId="6" type="noConversion"/>
  </si>
  <si>
    <t>평균</t>
    <phoneticPr fontId="6" type="noConversion"/>
  </si>
  <si>
    <t>석차</t>
    <phoneticPr fontId="6" type="noConversion"/>
  </si>
  <si>
    <t>수</t>
    <phoneticPr fontId="6" type="noConversion"/>
  </si>
  <si>
    <t>내</t>
    <phoneticPr fontId="6" type="noConversion"/>
  </si>
  <si>
    <t>어</t>
    <phoneticPr fontId="6" type="noConversion"/>
  </si>
  <si>
    <t>작</t>
    <phoneticPr fontId="6" type="noConversion"/>
  </si>
  <si>
    <t>유</t>
    <phoneticPr fontId="6" type="noConversion"/>
  </si>
  <si>
    <t>수</t>
    <phoneticPr fontId="6" type="noConversion"/>
  </si>
  <si>
    <t>내</t>
    <phoneticPr fontId="6" type="noConversion"/>
  </si>
  <si>
    <t>어</t>
    <phoneticPr fontId="6" type="noConversion"/>
  </si>
  <si>
    <t>작</t>
    <phoneticPr fontId="6" type="noConversion"/>
  </si>
  <si>
    <t>미</t>
    <phoneticPr fontId="6" type="noConversion"/>
  </si>
  <si>
    <t>단</t>
    <phoneticPr fontId="6" type="noConversion"/>
  </si>
  <si>
    <t>단</t>
    <phoneticPr fontId="6" type="noConversion"/>
  </si>
  <si>
    <t>미</t>
    <phoneticPr fontId="6" type="noConversion"/>
  </si>
  <si>
    <t>오</t>
    <phoneticPr fontId="6" type="noConversion"/>
  </si>
  <si>
    <t>빈</t>
    <phoneticPr fontId="6" type="noConversion"/>
  </si>
  <si>
    <t>누패</t>
    <phoneticPr fontId="6" type="noConversion"/>
  </si>
  <si>
    <t xml:space="preserve">누적
경고
</t>
    <phoneticPr fontId="6" type="noConversion"/>
  </si>
  <si>
    <t>과</t>
    <phoneticPr fontId="6" type="noConversion"/>
  </si>
  <si>
    <t>재</t>
    <phoneticPr fontId="6" type="noConversion"/>
  </si>
  <si>
    <t>한</t>
    <phoneticPr fontId="6" type="noConversion"/>
  </si>
  <si>
    <t>류성진</t>
    <phoneticPr fontId="6" type="noConversion"/>
  </si>
  <si>
    <t>류성진</t>
    <phoneticPr fontId="6" type="noConversion"/>
  </si>
  <si>
    <t>카톡 보낼 사람 이름</t>
    <phoneticPr fontId="6" type="noConversion"/>
  </si>
  <si>
    <t>이름</t>
    <phoneticPr fontId="6" type="noConversion"/>
  </si>
  <si>
    <t>항상 여기 위치시킴</t>
    <phoneticPr fontId="6" type="noConversion"/>
  </si>
  <si>
    <t>안녕하세요? 대찬학원 임재상 선생님의 조교입니다. 한영외고1 내신 1차시 수업(11월 4일/토) 관리표를 첨부하여 보냅니다.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</si>
</sst>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_ "/>
    <numFmt numFmtId="177" formatCode="m&quot;월&quot;\ d&quot;일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7"/>
      <color rgb="FF006100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7"/>
      <name val="맑은 고딕"/>
      <family val="3"/>
      <charset val="129"/>
      <scheme val="minor"/>
    </font>
    <font>
      <sz val="6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7"/>
      <color rgb="FFFF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6"/>
      <color rgb="FFFF00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7C80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1" applyNumberFormat="0" applyFont="0" applyAlignment="0" applyProtection="0">
      <alignment vertical="center"/>
    </xf>
    <xf numFmtId="0" fontId="4" fillId="0" borderId="2">
      <alignment vertical="center"/>
    </xf>
  </cellStyleXfs>
  <cellXfs count="123">
    <xf numFmtId="0" fontId="0" fillId="0" borderId="0" xfId="0">
      <alignment vertical="center"/>
    </xf>
    <xf numFmtId="0" fontId="5" fillId="0" borderId="2" xfId="4" applyFont="1" applyFill="1" applyBorder="1" applyAlignment="1">
      <alignment horizontal="center" vertical="center" wrapText="1"/>
    </xf>
    <xf numFmtId="0" fontId="5" fillId="5" borderId="2" xfId="4" applyFont="1" applyFill="1" applyBorder="1" applyAlignment="1">
      <alignment horizontal="center" vertical="center"/>
    </xf>
    <xf numFmtId="0" fontId="5" fillId="0" borderId="0" xfId="4" applyFont="1" applyBorder="1" applyAlignment="1">
      <alignment horizontal="center" vertical="center"/>
    </xf>
    <xf numFmtId="0" fontId="5" fillId="0" borderId="5" xfId="4" applyFont="1" applyBorder="1" applyAlignment="1">
      <alignment vertical="center"/>
    </xf>
    <xf numFmtId="0" fontId="4" fillId="0" borderId="2" xfId="4">
      <alignment vertical="center"/>
    </xf>
    <xf numFmtId="0" fontId="5" fillId="0" borderId="2" xfId="4" applyFont="1" applyFill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5" fillId="4" borderId="2" xfId="3" applyFont="1" applyBorder="1" applyAlignment="1">
      <alignment horizontal="center" vertical="center"/>
    </xf>
    <xf numFmtId="176" fontId="5" fillId="4" borderId="2" xfId="3" applyNumberFormat="1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8" xfId="4" applyFont="1" applyBorder="1" applyAlignment="1">
      <alignment vertical="center"/>
    </xf>
    <xf numFmtId="0" fontId="5" fillId="0" borderId="11" xfId="4" applyFont="1" applyFill="1" applyBorder="1" applyAlignment="1">
      <alignment horizontal="center" vertical="center"/>
    </xf>
    <xf numFmtId="0" fontId="5" fillId="0" borderId="11" xfId="4" quotePrefix="1" applyFont="1" applyFill="1" applyBorder="1" applyAlignment="1">
      <alignment horizontal="center" vertical="center" wrapText="1"/>
    </xf>
    <xf numFmtId="0" fontId="5" fillId="7" borderId="11" xfId="4" applyFont="1" applyFill="1" applyBorder="1" applyAlignment="1">
      <alignment horizontal="center" vertical="center" wrapText="1"/>
    </xf>
    <xf numFmtId="0" fontId="5" fillId="0" borderId="11" xfId="4" quotePrefix="1" applyFont="1" applyFill="1" applyBorder="1" applyAlignment="1">
      <alignment horizontal="center" vertical="center"/>
    </xf>
    <xf numFmtId="0" fontId="5" fillId="6" borderId="11" xfId="4" applyFont="1" applyFill="1" applyBorder="1" applyAlignment="1">
      <alignment horizontal="center" vertical="center" wrapText="1"/>
    </xf>
    <xf numFmtId="0" fontId="5" fillId="0" borderId="11" xfId="4" applyFont="1" applyFill="1" applyBorder="1" applyAlignment="1">
      <alignment horizontal="center" vertical="center" wrapText="1"/>
    </xf>
    <xf numFmtId="0" fontId="5" fillId="0" borderId="11" xfId="4" applyFont="1" applyBorder="1" applyAlignment="1">
      <alignment horizontal="center" vertical="center" wrapText="1"/>
    </xf>
    <xf numFmtId="0" fontId="5" fillId="0" borderId="11" xfId="4" applyFont="1" applyBorder="1" applyAlignment="1">
      <alignment horizontal="center" vertical="center"/>
    </xf>
    <xf numFmtId="0" fontId="4" fillId="0" borderId="2" xfId="4" applyAlignment="1">
      <alignment horizontal="center" vertical="center"/>
    </xf>
    <xf numFmtId="0" fontId="5" fillId="0" borderId="14" xfId="4" applyFont="1" applyFill="1" applyBorder="1" applyAlignment="1">
      <alignment horizontal="center" vertical="center" wrapText="1"/>
    </xf>
    <xf numFmtId="0" fontId="5" fillId="0" borderId="2" xfId="4" applyFont="1" applyAlignment="1">
      <alignment horizontal="center" vertical="center"/>
    </xf>
    <xf numFmtId="0" fontId="10" fillId="0" borderId="10" xfId="1" applyFont="1" applyFill="1" applyBorder="1" applyAlignment="1">
      <alignment horizontal="center" vertical="center"/>
    </xf>
    <xf numFmtId="0" fontId="10" fillId="7" borderId="10" xfId="1" applyFont="1" applyFill="1" applyBorder="1" applyAlignment="1">
      <alignment horizontal="center" vertical="center"/>
    </xf>
    <xf numFmtId="0" fontId="10" fillId="7" borderId="2" xfId="1" applyFont="1" applyFill="1" applyBorder="1" applyAlignment="1">
      <alignment horizontal="center" vertical="center"/>
    </xf>
    <xf numFmtId="0" fontId="10" fillId="0" borderId="10" xfId="1" applyFont="1" applyFill="1" applyBorder="1" applyAlignment="1">
      <alignment vertical="center" wrapText="1"/>
    </xf>
    <xf numFmtId="9" fontId="10" fillId="0" borderId="10" xfId="1" applyNumberFormat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center" vertical="center"/>
    </xf>
    <xf numFmtId="0" fontId="5" fillId="0" borderId="10" xfId="4" applyFont="1" applyFill="1" applyBorder="1" applyAlignment="1">
      <alignment horizontal="center" vertical="center"/>
    </xf>
    <xf numFmtId="0" fontId="5" fillId="0" borderId="10" xfId="4" quotePrefix="1" applyFont="1" applyFill="1" applyBorder="1" applyAlignment="1">
      <alignment horizontal="center" vertical="center" wrapText="1"/>
    </xf>
    <xf numFmtId="0" fontId="10" fillId="0" borderId="10" xfId="4" applyFont="1" applyFill="1" applyBorder="1" applyAlignment="1">
      <alignment horizontal="center" vertical="center"/>
    </xf>
    <xf numFmtId="0" fontId="11" fillId="0" borderId="10" xfId="4" applyFont="1" applyBorder="1" applyAlignment="1">
      <alignment horizontal="center" vertical="center" wrapText="1"/>
    </xf>
    <xf numFmtId="0" fontId="12" fillId="0" borderId="2" xfId="4" applyFont="1" applyAlignment="1">
      <alignment horizontal="center" vertical="center"/>
    </xf>
    <xf numFmtId="0" fontId="0" fillId="0" borderId="2" xfId="4" applyFont="1">
      <alignment vertical="center"/>
    </xf>
    <xf numFmtId="0" fontId="10" fillId="0" borderId="10" xfId="1" applyFont="1" applyFill="1" applyBorder="1" applyAlignment="1">
      <alignment horizontal="center" vertical="center" wrapText="1"/>
    </xf>
    <xf numFmtId="0" fontId="10" fillId="0" borderId="2" xfId="1" applyFont="1" applyFill="1" applyBorder="1" applyAlignment="1">
      <alignment vertical="center"/>
    </xf>
    <xf numFmtId="9" fontId="10" fillId="0" borderId="2" xfId="1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/>
    </xf>
    <xf numFmtId="0" fontId="11" fillId="0" borderId="2" xfId="4" applyFont="1" applyFill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/>
    </xf>
    <xf numFmtId="0" fontId="10" fillId="0" borderId="2" xfId="2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0" fontId="10" fillId="0" borderId="2" xfId="1" applyFont="1" applyFill="1" applyBorder="1" applyAlignment="1">
      <alignment horizontal="center" vertical="center" wrapText="1"/>
    </xf>
    <xf numFmtId="0" fontId="10" fillId="0" borderId="2" xfId="4" applyFont="1" applyBorder="1" applyAlignment="1">
      <alignment horizontal="center" vertical="center" wrapText="1"/>
    </xf>
    <xf numFmtId="0" fontId="13" fillId="0" borderId="2" xfId="4" applyFont="1" applyFill="1" applyBorder="1" applyAlignment="1">
      <alignment horizontal="center" vertical="center" wrapText="1"/>
    </xf>
    <xf numFmtId="0" fontId="13" fillId="0" borderId="2" xfId="4" applyFont="1" applyBorder="1" applyAlignment="1">
      <alignment horizontal="center" vertical="center" wrapText="1"/>
    </xf>
    <xf numFmtId="0" fontId="0" fillId="0" borderId="2" xfId="4" applyFont="1" applyAlignment="1">
      <alignment horizontal="center" vertical="center"/>
    </xf>
    <xf numFmtId="0" fontId="0" fillId="8" borderId="2" xfId="4" applyFont="1" applyFill="1">
      <alignment vertical="center"/>
    </xf>
    <xf numFmtId="0" fontId="10" fillId="6" borderId="2" xfId="2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2" xfId="1" applyFont="1" applyFill="1" applyBorder="1" applyAlignment="1">
      <alignment vertical="center"/>
    </xf>
    <xf numFmtId="9" fontId="10" fillId="6" borderId="2" xfId="1" applyNumberFormat="1" applyFont="1" applyFill="1" applyBorder="1" applyAlignment="1">
      <alignment horizontal="center" vertical="center"/>
    </xf>
    <xf numFmtId="0" fontId="5" fillId="6" borderId="10" xfId="4" applyFont="1" applyFill="1" applyBorder="1" applyAlignment="1">
      <alignment horizontal="center" vertical="center"/>
    </xf>
    <xf numFmtId="0" fontId="5" fillId="6" borderId="10" xfId="4" quotePrefix="1" applyFont="1" applyFill="1" applyBorder="1" applyAlignment="1">
      <alignment horizontal="center" vertical="center" wrapText="1"/>
    </xf>
    <xf numFmtId="0" fontId="13" fillId="6" borderId="2" xfId="4" applyFont="1" applyFill="1" applyBorder="1" applyAlignment="1">
      <alignment horizontal="center" vertical="center" wrapText="1"/>
    </xf>
    <xf numFmtId="0" fontId="10" fillId="6" borderId="2" xfId="4" applyFont="1" applyFill="1" applyBorder="1" applyAlignment="1">
      <alignment horizontal="center" vertical="center"/>
    </xf>
    <xf numFmtId="0" fontId="4" fillId="6" borderId="2" xfId="4" applyFill="1">
      <alignment vertical="center"/>
    </xf>
    <xf numFmtId="0" fontId="5" fillId="0" borderId="17" xfId="4" applyFont="1" applyFill="1" applyBorder="1" applyAlignment="1">
      <alignment horizontal="center" vertical="center" wrapText="1"/>
    </xf>
    <xf numFmtId="0" fontId="4" fillId="0" borderId="2" xfId="4" applyBorder="1" applyAlignment="1">
      <alignment horizontal="center" vertical="center"/>
    </xf>
    <xf numFmtId="0" fontId="14" fillId="0" borderId="10" xfId="4" applyFont="1" applyBorder="1">
      <alignment vertical="center"/>
    </xf>
    <xf numFmtId="0" fontId="14" fillId="0" borderId="10" xfId="4" applyFont="1" applyBorder="1" applyAlignment="1">
      <alignment horizontal="center" vertical="center"/>
    </xf>
    <xf numFmtId="0" fontId="14" fillId="0" borderId="10" xfId="4" applyFont="1" applyFill="1" applyBorder="1">
      <alignment vertical="center"/>
    </xf>
    <xf numFmtId="0" fontId="14" fillId="0" borderId="10" xfId="4" applyFont="1" applyFill="1" applyBorder="1" applyAlignment="1">
      <alignment horizontal="center" vertical="center"/>
    </xf>
    <xf numFmtId="0" fontId="5" fillId="0" borderId="17" xfId="4" applyFont="1" applyFill="1" applyBorder="1" applyAlignment="1">
      <alignment horizontal="center" vertical="center"/>
    </xf>
    <xf numFmtId="0" fontId="5" fillId="0" borderId="18" xfId="4" applyFont="1" applyFill="1" applyBorder="1" applyAlignment="1">
      <alignment horizontal="center" vertical="center"/>
    </xf>
    <xf numFmtId="0" fontId="15" fillId="0" borderId="2" xfId="4" applyFont="1" applyBorder="1" applyAlignment="1">
      <alignment vertical="top" wrapText="1"/>
    </xf>
    <xf numFmtId="0" fontId="15" fillId="0" borderId="2" xfId="4" applyFont="1" applyBorder="1" applyAlignment="1">
      <alignment vertical="top"/>
    </xf>
    <xf numFmtId="0" fontId="14" fillId="0" borderId="2" xfId="4" applyFont="1">
      <alignment vertical="center"/>
    </xf>
    <xf numFmtId="0" fontId="14" fillId="0" borderId="2" xfId="4" applyFont="1" applyAlignment="1">
      <alignment horizontal="center" vertical="center"/>
    </xf>
    <xf numFmtId="0" fontId="14" fillId="0" borderId="2" xfId="4" applyFont="1" applyFill="1">
      <alignment vertical="center"/>
    </xf>
    <xf numFmtId="0" fontId="14" fillId="0" borderId="2" xfId="4" applyFont="1" applyFill="1" applyAlignment="1">
      <alignment horizontal="center" vertical="center"/>
    </xf>
    <xf numFmtId="0" fontId="4" fillId="0" borderId="2" xfId="4" applyFill="1">
      <alignment vertical="center"/>
    </xf>
    <xf numFmtId="0" fontId="14" fillId="0" borderId="2" xfId="4" applyFont="1" applyBorder="1" applyAlignment="1">
      <alignment horizontal="center" vertical="center"/>
    </xf>
    <xf numFmtId="0" fontId="14" fillId="0" borderId="2" xfId="4" applyFont="1" applyBorder="1">
      <alignment vertical="center"/>
    </xf>
    <xf numFmtId="0" fontId="4" fillId="0" borderId="2" xfId="4" applyAlignment="1">
      <alignment horizontal="center" vertical="center" wrapText="1"/>
    </xf>
    <xf numFmtId="0" fontId="5" fillId="0" borderId="8" xfId="4" applyFont="1" applyFill="1" applyBorder="1" applyAlignment="1">
      <alignment horizontal="center" vertical="center"/>
    </xf>
    <xf numFmtId="0" fontId="5" fillId="8" borderId="8" xfId="4" applyFont="1" applyFill="1" applyBorder="1" applyAlignment="1">
      <alignment horizontal="center" vertical="center"/>
    </xf>
    <xf numFmtId="0" fontId="5" fillId="6" borderId="8" xfId="4" applyFont="1" applyFill="1" applyBorder="1" applyAlignment="1">
      <alignment horizontal="center" vertical="center"/>
    </xf>
    <xf numFmtId="0" fontId="5" fillId="0" borderId="14" xfId="4" applyFont="1" applyFill="1" applyBorder="1" applyAlignment="1">
      <alignment horizontal="center" vertical="center" wrapText="1"/>
    </xf>
    <xf numFmtId="177" fontId="10" fillId="0" borderId="2" xfId="2" applyNumberFormat="1" applyFont="1" applyFill="1" applyBorder="1" applyAlignment="1">
      <alignment horizontal="center" vertical="center"/>
    </xf>
    <xf numFmtId="0" fontId="5" fillId="0" borderId="2" xfId="4" applyFont="1" applyFill="1" applyBorder="1" applyAlignment="1">
      <alignment horizontal="center" vertical="center" wrapText="1"/>
    </xf>
    <xf numFmtId="0" fontId="5" fillId="0" borderId="2" xfId="4" applyFont="1" applyFill="1" applyBorder="1" applyAlignment="1">
      <alignment horizontal="center" vertical="center"/>
    </xf>
    <xf numFmtId="0" fontId="5" fillId="0" borderId="11" xfId="4" applyFont="1" applyFill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8" fillId="5" borderId="2" xfId="4" applyFont="1" applyFill="1" applyBorder="1" applyAlignment="1">
      <alignment horizontal="center" vertical="center" wrapText="1"/>
    </xf>
    <xf numFmtId="0" fontId="8" fillId="5" borderId="2" xfId="4" applyFont="1" applyFill="1" applyBorder="1" applyAlignment="1">
      <alignment horizontal="center" vertical="center"/>
    </xf>
    <xf numFmtId="0" fontId="8" fillId="5" borderId="11" xfId="4" applyFont="1" applyFill="1" applyBorder="1" applyAlignment="1">
      <alignment horizontal="center" vertical="center"/>
    </xf>
    <xf numFmtId="0" fontId="5" fillId="0" borderId="3" xfId="4" applyFont="1" applyBorder="1" applyAlignment="1">
      <alignment horizontal="center" vertical="center"/>
    </xf>
    <xf numFmtId="0" fontId="5" fillId="0" borderId="4" xfId="4" applyFont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9" fillId="6" borderId="6" xfId="4" applyFont="1" applyFill="1" applyBorder="1" applyAlignment="1">
      <alignment horizontal="center" vertical="center" wrapText="1"/>
    </xf>
    <xf numFmtId="0" fontId="9" fillId="6" borderId="10" xfId="4" applyFont="1" applyFill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5" fillId="4" borderId="2" xfId="3" applyFont="1" applyBorder="1" applyAlignment="1">
      <alignment horizontal="center" vertical="center"/>
    </xf>
    <xf numFmtId="0" fontId="5" fillId="0" borderId="11" xfId="4" applyFont="1" applyFill="1" applyBorder="1" applyAlignment="1">
      <alignment horizontal="center" vertical="center" wrapText="1"/>
    </xf>
    <xf numFmtId="0" fontId="5" fillId="0" borderId="12" xfId="4" applyFont="1" applyFill="1" applyBorder="1" applyAlignment="1">
      <alignment horizontal="center" vertical="center" wrapText="1"/>
    </xf>
    <xf numFmtId="0" fontId="5" fillId="0" borderId="13" xfId="4" applyFont="1" applyFill="1" applyBorder="1" applyAlignment="1">
      <alignment horizontal="center" vertical="center" wrapText="1"/>
    </xf>
    <xf numFmtId="0" fontId="8" fillId="6" borderId="2" xfId="3" applyFont="1" applyFill="1" applyBorder="1" applyAlignment="1">
      <alignment horizontal="center" vertical="center" wrapText="1"/>
    </xf>
    <xf numFmtId="0" fontId="8" fillId="6" borderId="2" xfId="3" applyFont="1" applyFill="1" applyBorder="1" applyAlignment="1">
      <alignment horizontal="center" vertical="center"/>
    </xf>
    <xf numFmtId="0" fontId="8" fillId="6" borderId="6" xfId="4" applyFont="1" applyFill="1" applyBorder="1" applyAlignment="1">
      <alignment horizontal="center" vertical="center" wrapText="1"/>
    </xf>
    <xf numFmtId="0" fontId="8" fillId="6" borderId="10" xfId="4" applyFont="1" applyFill="1" applyBorder="1" applyAlignment="1">
      <alignment horizontal="center" vertical="center"/>
    </xf>
    <xf numFmtId="0" fontId="5" fillId="0" borderId="17" xfId="4" applyFont="1" applyFill="1" applyBorder="1" applyAlignment="1">
      <alignment horizontal="center" vertical="center"/>
    </xf>
    <xf numFmtId="0" fontId="5" fillId="0" borderId="18" xfId="4" applyFont="1" applyFill="1" applyBorder="1" applyAlignment="1">
      <alignment horizontal="center" vertical="center"/>
    </xf>
    <xf numFmtId="0" fontId="5" fillId="6" borderId="17" xfId="4" applyFont="1" applyFill="1" applyBorder="1" applyAlignment="1">
      <alignment horizontal="center" vertical="center"/>
    </xf>
    <xf numFmtId="0" fontId="5" fillId="6" borderId="18" xfId="4" applyFont="1" applyFill="1" applyBorder="1" applyAlignment="1">
      <alignment horizontal="center" vertical="center"/>
    </xf>
    <xf numFmtId="0" fontId="5" fillId="8" borderId="17" xfId="4" applyFont="1" applyFill="1" applyBorder="1" applyAlignment="1">
      <alignment horizontal="center" vertical="center"/>
    </xf>
    <xf numFmtId="0" fontId="5" fillId="8" borderId="18" xfId="4" applyFont="1" applyFill="1" applyBorder="1" applyAlignment="1">
      <alignment horizontal="center" vertical="center"/>
    </xf>
    <xf numFmtId="0" fontId="5" fillId="0" borderId="17" xfId="4" applyFont="1" applyFill="1" applyBorder="1" applyAlignment="1">
      <alignment horizontal="center" vertical="center" wrapText="1"/>
    </xf>
    <xf numFmtId="0" fontId="5" fillId="0" borderId="19" xfId="4" applyFont="1" applyFill="1" applyBorder="1" applyAlignment="1">
      <alignment horizontal="center" vertical="center" wrapText="1"/>
    </xf>
    <xf numFmtId="0" fontId="5" fillId="0" borderId="18" xfId="4" applyFont="1" applyFill="1" applyBorder="1" applyAlignment="1">
      <alignment horizontal="center" vertical="center" wrapText="1"/>
    </xf>
    <xf numFmtId="0" fontId="10" fillId="6" borderId="17" xfId="4" applyFont="1" applyFill="1" applyBorder="1" applyAlignment="1">
      <alignment horizontal="center" vertical="center" wrapText="1"/>
    </xf>
    <xf numFmtId="0" fontId="10" fillId="6" borderId="18" xfId="4" applyFont="1" applyFill="1" applyBorder="1" applyAlignment="1">
      <alignment horizontal="center" vertical="center" wrapText="1"/>
    </xf>
    <xf numFmtId="0" fontId="5" fillId="6" borderId="17" xfId="4" applyFont="1" applyFill="1" applyBorder="1" applyAlignment="1">
      <alignment horizontal="center" vertical="center" wrapText="1"/>
    </xf>
    <xf numFmtId="0" fontId="5" fillId="6" borderId="19" xfId="4" applyFont="1" applyFill="1" applyBorder="1" applyAlignment="1">
      <alignment horizontal="center" vertical="center" wrapText="1"/>
    </xf>
    <xf numFmtId="0" fontId="5" fillId="0" borderId="19" xfId="4" applyFont="1" applyFill="1" applyBorder="1" applyAlignment="1">
      <alignment horizontal="center" vertical="center"/>
    </xf>
    <xf numFmtId="0" fontId="5" fillId="6" borderId="18" xfId="4" applyFont="1" applyFill="1" applyBorder="1" applyAlignment="1">
      <alignment horizontal="center" vertical="center" wrapText="1"/>
    </xf>
    <xf numFmtId="0" fontId="5" fillId="0" borderId="14" xfId="4" applyFont="1" applyFill="1" applyBorder="1" applyAlignment="1">
      <alignment horizontal="center" vertical="center" wrapText="1"/>
    </xf>
    <xf numFmtId="0" fontId="5" fillId="0" borderId="15" xfId="4" applyFont="1" applyFill="1" applyBorder="1" applyAlignment="1">
      <alignment horizontal="center" vertical="center"/>
    </xf>
    <xf numFmtId="0" fontId="5" fillId="0" borderId="16" xfId="4" applyFont="1" applyFill="1" applyBorder="1" applyAlignment="1">
      <alignment horizontal="center" vertical="center"/>
    </xf>
    <xf numFmtId="0" fontId="5" fillId="0" borderId="10" xfId="4" applyFont="1" applyFill="1" applyBorder="1" applyAlignment="1">
      <alignment horizontal="center" vertical="center"/>
    </xf>
  </cellXfs>
  <cellStyles count="5">
    <cellStyle name="나쁨" xfId="2" builtinId="27"/>
    <cellStyle name="메모" xfId="3" builtinId="10"/>
    <cellStyle name="좋음" xfId="1" builtinId="26"/>
    <cellStyle name="표준" xfId="0" builtinId="0"/>
    <cellStyle name="표준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33"/>
  <sheetViews>
    <sheetView topLeftCell="H1" workbookViewId="0">
      <selection activeCell="AK5" sqref="AK5"/>
    </sheetView>
  </sheetViews>
  <sheetFormatPr defaultRowHeight="12" x14ac:dyDescent="0.3"/>
  <cols>
    <col min="1" max="1" width="3.875" style="69" customWidth="1"/>
    <col min="2" max="2" width="3.875" style="69" hidden="1" customWidth="1"/>
    <col min="3" max="3" width="4.875" style="70" bestFit="1" customWidth="1"/>
    <col min="4" max="23" width="3.25" style="69" customWidth="1"/>
    <col min="24" max="24" width="3.625" style="69" customWidth="1"/>
    <col min="25" max="29" width="5.5" style="69" customWidth="1"/>
    <col min="30" max="30" width="4.875" style="69" bestFit="1" customWidth="1"/>
    <col min="31" max="31" width="3.625" style="70" customWidth="1"/>
    <col min="32" max="32" width="2" style="70" customWidth="1"/>
    <col min="33" max="34" width="2.75" style="70" hidden="1" customWidth="1"/>
    <col min="35" max="35" width="4" style="70" customWidth="1"/>
    <col min="36" max="36" width="1.75" style="70" customWidth="1"/>
    <col min="37" max="37" width="3.5" style="70" customWidth="1"/>
    <col min="38" max="38" width="3.75" style="70" hidden="1" customWidth="1"/>
    <col min="39" max="42" width="3.5" style="70" customWidth="1"/>
    <col min="43" max="43" width="6.625" style="72" bestFit="1" customWidth="1"/>
    <col min="44" max="44" width="5.75" style="70" customWidth="1"/>
    <col min="45" max="45" width="5" style="69" customWidth="1"/>
    <col min="46" max="46" width="8.125" style="20" customWidth="1"/>
    <col min="47" max="47" width="6.625" style="20" customWidth="1"/>
    <col min="48" max="55" width="6.625" style="5" customWidth="1"/>
    <col min="56" max="16384" width="9" style="5"/>
  </cols>
  <sheetData>
    <row r="1" spans="1:49" ht="15.75" customHeight="1" x14ac:dyDescent="0.3">
      <c r="A1" s="82"/>
      <c r="B1" s="1"/>
      <c r="C1" s="82" t="s">
        <v>0</v>
      </c>
      <c r="D1" s="85" t="s">
        <v>1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 t="s">
        <v>2</v>
      </c>
      <c r="Y1" s="85"/>
      <c r="Z1" s="85"/>
      <c r="AA1" s="85"/>
      <c r="AB1" s="85"/>
      <c r="AC1" s="2" t="s">
        <v>3</v>
      </c>
      <c r="AD1" s="86" t="s">
        <v>4</v>
      </c>
      <c r="AE1" s="89"/>
      <c r="AF1" s="90"/>
      <c r="AG1" s="89"/>
      <c r="AH1" s="90"/>
      <c r="AI1" s="83"/>
      <c r="AJ1" s="83"/>
      <c r="AK1" s="96" t="s">
        <v>5</v>
      </c>
      <c r="AL1" s="96"/>
      <c r="AM1" s="96"/>
      <c r="AN1" s="95" t="s">
        <v>6</v>
      </c>
      <c r="AO1" s="95"/>
      <c r="AP1" s="96"/>
      <c r="AQ1" s="100" t="s">
        <v>7</v>
      </c>
      <c r="AR1" s="3" t="s">
        <v>149</v>
      </c>
      <c r="AS1" s="4"/>
      <c r="AT1" s="102" t="s">
        <v>8</v>
      </c>
      <c r="AU1" s="93" t="s">
        <v>9</v>
      </c>
    </row>
    <row r="2" spans="1:49" ht="29.25" customHeight="1" x14ac:dyDescent="0.3">
      <c r="A2" s="83"/>
      <c r="B2" s="6"/>
      <c r="C2" s="83"/>
      <c r="D2" s="95" t="s">
        <v>10</v>
      </c>
      <c r="E2" s="95"/>
      <c r="F2" s="95"/>
      <c r="G2" s="95"/>
      <c r="H2" s="95"/>
      <c r="I2" s="95"/>
      <c r="J2" s="96"/>
      <c r="K2" s="95" t="s">
        <v>11</v>
      </c>
      <c r="L2" s="95"/>
      <c r="M2" s="95"/>
      <c r="N2" s="95"/>
      <c r="O2" s="95"/>
      <c r="P2" s="95"/>
      <c r="Q2" s="95"/>
      <c r="R2" s="95" t="s">
        <v>12</v>
      </c>
      <c r="S2" s="95"/>
      <c r="T2" s="95"/>
      <c r="U2" s="96" t="s">
        <v>13</v>
      </c>
      <c r="V2" s="96"/>
      <c r="W2" s="96"/>
      <c r="X2" s="7" t="s">
        <v>14</v>
      </c>
      <c r="Y2" s="7" t="s">
        <v>15</v>
      </c>
      <c r="Z2" s="7" t="s">
        <v>16</v>
      </c>
      <c r="AA2" s="7" t="s">
        <v>17</v>
      </c>
      <c r="AB2" s="8" t="s">
        <v>18</v>
      </c>
      <c r="AC2" s="9">
        <f>AVERAGEIF(AC4:AC80,"&gt;0")</f>
        <v>10.636363636363637</v>
      </c>
      <c r="AD2" s="87"/>
      <c r="AE2" s="91"/>
      <c r="AF2" s="92"/>
      <c r="AG2" s="91"/>
      <c r="AH2" s="92"/>
      <c r="AI2" s="83"/>
      <c r="AJ2" s="83"/>
      <c r="AK2" s="96"/>
      <c r="AL2" s="96"/>
      <c r="AM2" s="96"/>
      <c r="AN2" s="96"/>
      <c r="AO2" s="96"/>
      <c r="AP2" s="96"/>
      <c r="AQ2" s="101"/>
      <c r="AR2" s="10"/>
      <c r="AS2" s="11"/>
      <c r="AT2" s="103"/>
      <c r="AU2" s="94"/>
    </row>
    <row r="3" spans="1:49" ht="30" customHeight="1" thickBot="1" x14ac:dyDescent="0.35">
      <c r="A3" s="84"/>
      <c r="B3" s="12"/>
      <c r="C3" s="84"/>
      <c r="D3" s="12">
        <v>1</v>
      </c>
      <c r="E3" s="13">
        <v>6</v>
      </c>
      <c r="F3" s="13">
        <v>13</v>
      </c>
      <c r="G3" s="13">
        <v>14</v>
      </c>
      <c r="H3" s="13">
        <v>15</v>
      </c>
      <c r="I3" s="13">
        <v>16</v>
      </c>
      <c r="J3" s="14" t="s">
        <v>19</v>
      </c>
      <c r="K3" s="12">
        <v>2</v>
      </c>
      <c r="L3" s="12">
        <v>4</v>
      </c>
      <c r="M3" s="12">
        <v>7</v>
      </c>
      <c r="N3" s="12">
        <v>8</v>
      </c>
      <c r="O3" s="12">
        <v>10</v>
      </c>
      <c r="P3" s="12">
        <v>11</v>
      </c>
      <c r="Q3" s="14" t="s">
        <v>19</v>
      </c>
      <c r="R3" s="15">
        <v>5</v>
      </c>
      <c r="S3" s="15">
        <v>12</v>
      </c>
      <c r="T3" s="14" t="s">
        <v>19</v>
      </c>
      <c r="U3" s="15">
        <v>3</v>
      </c>
      <c r="V3" s="15">
        <v>9</v>
      </c>
      <c r="W3" s="14" t="s">
        <v>19</v>
      </c>
      <c r="X3" s="16" t="s">
        <v>20</v>
      </c>
      <c r="Y3" s="12">
        <f>COUNTIFS(D3:I3, "&lt;&gt;-", D3:I3, "&lt;&gt;"&amp;"")</f>
        <v>6</v>
      </c>
      <c r="Z3" s="12">
        <f>COUNTIFS(K3:P3, "&lt;&gt;-", K3:P3, "&lt;&gt;"&amp;"")</f>
        <v>6</v>
      </c>
      <c r="AA3" s="12">
        <f>COUNTIFS(R3:S3, "&lt;&gt;-", R3:S3, "&lt;&gt;"&amp;"")</f>
        <v>2</v>
      </c>
      <c r="AB3" s="12">
        <f>COUNTIFS(U3:V3, "&lt;&gt;-", U3:V3, "&lt;&gt;"&amp;"")</f>
        <v>2</v>
      </c>
      <c r="AC3" s="17">
        <f>SUM(Y3:AB3)</f>
        <v>16</v>
      </c>
      <c r="AD3" s="88"/>
      <c r="AE3" s="97" t="s">
        <v>21</v>
      </c>
      <c r="AF3" s="97"/>
      <c r="AG3" s="98" t="s">
        <v>22</v>
      </c>
      <c r="AH3" s="99"/>
      <c r="AI3" s="97" t="s">
        <v>23</v>
      </c>
      <c r="AJ3" s="97"/>
      <c r="AK3" s="18" t="s">
        <v>24</v>
      </c>
      <c r="AL3" s="18" t="s">
        <v>25</v>
      </c>
      <c r="AM3" s="19" t="s">
        <v>26</v>
      </c>
      <c r="AN3" s="18" t="s">
        <v>27</v>
      </c>
      <c r="AO3" s="18" t="s">
        <v>28</v>
      </c>
      <c r="AP3" s="18" t="s">
        <v>29</v>
      </c>
      <c r="AQ3" s="17" t="s">
        <v>30</v>
      </c>
      <c r="AR3" s="18" t="s">
        <v>31</v>
      </c>
      <c r="AS3" s="18" t="s">
        <v>32</v>
      </c>
    </row>
    <row r="4" spans="1:49" ht="24.95" customHeight="1" x14ac:dyDescent="0.3">
      <c r="A4" s="119" t="s">
        <v>33</v>
      </c>
      <c r="B4" s="21"/>
      <c r="C4" s="22" t="s">
        <v>34</v>
      </c>
      <c r="D4" s="23"/>
      <c r="E4" s="5"/>
      <c r="F4" s="23"/>
      <c r="G4" s="23"/>
      <c r="H4" s="23"/>
      <c r="I4" s="23"/>
      <c r="J4" s="24">
        <f t="shared" ref="J4:J51" si="0">SUM(D4:I4)</f>
        <v>0</v>
      </c>
      <c r="K4" s="23"/>
      <c r="L4" s="23"/>
      <c r="M4" s="23"/>
      <c r="N4" s="23"/>
      <c r="O4" s="23"/>
      <c r="P4" s="23"/>
      <c r="Q4" s="24">
        <f t="shared" ref="Q4:Q66" si="1">SUM(K4:P4)</f>
        <v>0</v>
      </c>
      <c r="R4" s="23"/>
      <c r="S4" s="23"/>
      <c r="T4" s="25">
        <f t="shared" ref="T4:T35" si="2">SUM(R4:S4)</f>
        <v>0</v>
      </c>
      <c r="U4" s="23"/>
      <c r="V4" s="23"/>
      <c r="W4" s="24">
        <f t="shared" ref="W4:W66" si="3">SUM(U4:V4)</f>
        <v>0</v>
      </c>
      <c r="X4" s="26"/>
      <c r="Y4" s="27">
        <f t="shared" ref="Y4:Y67" si="4">J4/$Y$3</f>
        <v>0</v>
      </c>
      <c r="Z4" s="27">
        <f t="shared" ref="Z4:Z67" si="5">Q4/$Z$3</f>
        <v>0</v>
      </c>
      <c r="AA4" s="27">
        <f t="shared" ref="AA4:AA67" si="6">T4/$AA$3</f>
        <v>0</v>
      </c>
      <c r="AB4" s="27">
        <f t="shared" ref="AB4:AB67" si="7">W4/$AB$3</f>
        <v>0</v>
      </c>
      <c r="AC4" s="28">
        <f t="shared" ref="AC4:AC67" si="8">SUM(J4,Q4,T4,W4)</f>
        <v>0</v>
      </c>
      <c r="AD4" s="23">
        <f>RANK(AC4, $AC$4:$AC$73,0)</f>
        <v>12</v>
      </c>
      <c r="AE4" s="29" t="str">
        <f t="shared" ref="AE4:AE67" si="9">IF(AC4&gt;=$AC$3*0.7, "P", "F")</f>
        <v>F</v>
      </c>
      <c r="AF4" s="29">
        <f>AC4</f>
        <v>0</v>
      </c>
      <c r="AG4" s="120" t="s">
        <v>35</v>
      </c>
      <c r="AH4" s="121"/>
      <c r="AI4" s="122"/>
      <c r="AJ4" s="122"/>
      <c r="AK4" s="30" t="str">
        <f t="shared" ref="AK4:AK67" si="10">IF(AE4="P", "-","차시예정")</f>
        <v>차시예정</v>
      </c>
      <c r="AL4" s="30" t="str">
        <f t="shared" ref="AL4:AL67" si="11">IF(AG4="P", "-","차시예정")</f>
        <v>-</v>
      </c>
      <c r="AM4" s="30" t="str">
        <f>IF(AI4="P", "-","차시예정")</f>
        <v>차시예정</v>
      </c>
      <c r="AN4" s="31"/>
      <c r="AO4" s="31" t="s">
        <v>36</v>
      </c>
      <c r="AP4" s="31" t="s">
        <v>36</v>
      </c>
      <c r="AQ4" s="29">
        <f t="shared" ref="AQ4:AQ68" si="12">COUNTIF(AK4:AP4, "차시예정")+COUNTIF(AK4:AP4, "X")</f>
        <v>4</v>
      </c>
      <c r="AR4" s="32" t="s">
        <v>37</v>
      </c>
      <c r="AS4" s="32" t="s">
        <v>38</v>
      </c>
      <c r="AT4" s="33"/>
      <c r="AV4" s="34" t="s">
        <v>39</v>
      </c>
      <c r="AW4" s="5" t="str">
        <f>IF(AV4="토", "토요일 텍스트", "일요일 텍스트")</f>
        <v>토요일 텍스트</v>
      </c>
    </row>
    <row r="5" spans="1:49" ht="24.95" customHeight="1" x14ac:dyDescent="0.3">
      <c r="A5" s="119"/>
      <c r="B5" s="21"/>
      <c r="C5" s="35" t="s">
        <v>40</v>
      </c>
      <c r="D5" s="23"/>
      <c r="E5" s="23"/>
      <c r="F5" s="23"/>
      <c r="G5" s="23"/>
      <c r="H5" s="23"/>
      <c r="I5" s="23"/>
      <c r="J5" s="24">
        <f t="shared" si="0"/>
        <v>0</v>
      </c>
      <c r="K5" s="23"/>
      <c r="L5" s="23"/>
      <c r="M5" s="23"/>
      <c r="N5" s="23"/>
      <c r="O5" s="23"/>
      <c r="P5" s="23"/>
      <c r="Q5" s="25">
        <f t="shared" si="1"/>
        <v>0</v>
      </c>
      <c r="R5" s="23"/>
      <c r="S5" s="23"/>
      <c r="T5" s="25">
        <f t="shared" si="2"/>
        <v>0</v>
      </c>
      <c r="U5" s="23"/>
      <c r="V5" s="23"/>
      <c r="W5" s="25">
        <f t="shared" si="3"/>
        <v>0</v>
      </c>
      <c r="X5" s="36"/>
      <c r="Y5" s="37">
        <f t="shared" si="4"/>
        <v>0</v>
      </c>
      <c r="Z5" s="37">
        <f t="shared" si="5"/>
        <v>0</v>
      </c>
      <c r="AA5" s="37">
        <f t="shared" si="6"/>
        <v>0</v>
      </c>
      <c r="AB5" s="37">
        <f t="shared" si="7"/>
        <v>0</v>
      </c>
      <c r="AC5" s="28">
        <f t="shared" si="8"/>
        <v>0</v>
      </c>
      <c r="AD5" s="28">
        <f t="shared" ref="AD5:AD47" si="13">RANK(AC5, $AC$4:$AC$80,0)</f>
        <v>12</v>
      </c>
      <c r="AE5" s="29" t="str">
        <f t="shared" si="9"/>
        <v>F</v>
      </c>
      <c r="AF5" s="29">
        <f t="shared" ref="AF5:AF68" si="14">AC5</f>
        <v>0</v>
      </c>
      <c r="AG5" s="104" t="s">
        <v>41</v>
      </c>
      <c r="AH5" s="105"/>
      <c r="AI5" s="83"/>
      <c r="AJ5" s="83"/>
      <c r="AK5" s="30" t="str">
        <f t="shared" si="10"/>
        <v>차시예정</v>
      </c>
      <c r="AL5" s="30" t="str">
        <f t="shared" si="11"/>
        <v>-</v>
      </c>
      <c r="AM5" s="30" t="str">
        <f t="shared" ref="AM5:AM9" si="15">IF(AI5="P", "-","차시예정")</f>
        <v>차시예정</v>
      </c>
      <c r="AN5" s="38"/>
      <c r="AO5" s="38"/>
      <c r="AP5" s="38"/>
      <c r="AQ5" s="29">
        <f t="shared" si="12"/>
        <v>2</v>
      </c>
      <c r="AR5" s="39" t="s">
        <v>42</v>
      </c>
      <c r="AS5" s="40" t="s">
        <v>43</v>
      </c>
      <c r="AT5" s="33"/>
      <c r="AV5" s="34" t="s">
        <v>44</v>
      </c>
      <c r="AW5" s="5" t="str">
        <f>IF(AV5="토", "토요일 텍스트", "일요일 텍스트")</f>
        <v>일요일 텍스트</v>
      </c>
    </row>
    <row r="6" spans="1:49" ht="24.95" customHeight="1" x14ac:dyDescent="0.3">
      <c r="A6" s="119"/>
      <c r="B6" s="21"/>
      <c r="C6" s="28" t="s">
        <v>45</v>
      </c>
      <c r="D6" s="41">
        <v>1</v>
      </c>
      <c r="E6" s="41">
        <v>1</v>
      </c>
      <c r="F6" s="41">
        <v>0</v>
      </c>
      <c r="G6" s="41">
        <v>1</v>
      </c>
      <c r="H6" s="41">
        <v>1</v>
      </c>
      <c r="I6" s="41">
        <v>1</v>
      </c>
      <c r="J6" s="24">
        <f t="shared" si="0"/>
        <v>5</v>
      </c>
      <c r="K6" s="41">
        <v>1</v>
      </c>
      <c r="L6" s="41">
        <v>1</v>
      </c>
      <c r="M6" s="41">
        <v>1</v>
      </c>
      <c r="N6" s="41">
        <v>1</v>
      </c>
      <c r="O6" s="41">
        <v>1</v>
      </c>
      <c r="P6" s="41">
        <v>1</v>
      </c>
      <c r="Q6" s="25">
        <f t="shared" si="1"/>
        <v>6</v>
      </c>
      <c r="R6" s="41">
        <v>1</v>
      </c>
      <c r="S6" s="41">
        <v>0</v>
      </c>
      <c r="T6" s="25">
        <f t="shared" si="2"/>
        <v>1</v>
      </c>
      <c r="U6" s="41">
        <v>1</v>
      </c>
      <c r="V6" s="41">
        <v>1</v>
      </c>
      <c r="W6" s="25">
        <f t="shared" si="3"/>
        <v>2</v>
      </c>
      <c r="X6" s="36"/>
      <c r="Y6" s="37">
        <f t="shared" si="4"/>
        <v>0.83333333333333337</v>
      </c>
      <c r="Z6" s="37">
        <f t="shared" si="5"/>
        <v>1</v>
      </c>
      <c r="AA6" s="37">
        <f t="shared" si="6"/>
        <v>0.5</v>
      </c>
      <c r="AB6" s="37">
        <f t="shared" si="7"/>
        <v>1</v>
      </c>
      <c r="AC6" s="28">
        <f t="shared" si="8"/>
        <v>14</v>
      </c>
      <c r="AD6" s="28">
        <f t="shared" si="13"/>
        <v>2</v>
      </c>
      <c r="AE6" s="29" t="str">
        <f t="shared" si="9"/>
        <v>P</v>
      </c>
      <c r="AF6" s="29">
        <f t="shared" si="14"/>
        <v>14</v>
      </c>
      <c r="AG6" s="104" t="s">
        <v>46</v>
      </c>
      <c r="AH6" s="105"/>
      <c r="AI6" s="83" t="s">
        <v>41</v>
      </c>
      <c r="AJ6" s="83"/>
      <c r="AK6" s="30" t="str">
        <f t="shared" si="10"/>
        <v>-</v>
      </c>
      <c r="AL6" s="30" t="str">
        <f t="shared" si="11"/>
        <v>-</v>
      </c>
      <c r="AM6" s="30" t="str">
        <f t="shared" si="15"/>
        <v>-</v>
      </c>
      <c r="AN6" s="38"/>
      <c r="AO6" s="42"/>
      <c r="AP6" s="42" t="s">
        <v>47</v>
      </c>
      <c r="AQ6" s="29">
        <f t="shared" si="12"/>
        <v>1</v>
      </c>
      <c r="AR6" s="39"/>
      <c r="AS6" s="40" t="s">
        <v>48</v>
      </c>
      <c r="AT6" s="33"/>
    </row>
    <row r="7" spans="1:49" ht="24.95" customHeight="1" x14ac:dyDescent="0.3">
      <c r="A7" s="119"/>
      <c r="B7" s="21"/>
      <c r="C7" s="28" t="s">
        <v>49</v>
      </c>
      <c r="D7" s="41"/>
      <c r="E7" s="41"/>
      <c r="F7" s="41"/>
      <c r="G7" s="41"/>
      <c r="H7" s="41"/>
      <c r="I7" s="41"/>
      <c r="J7" s="24">
        <f t="shared" si="0"/>
        <v>0</v>
      </c>
      <c r="K7" s="41"/>
      <c r="L7" s="41"/>
      <c r="M7" s="41"/>
      <c r="N7" s="41"/>
      <c r="O7" s="41"/>
      <c r="P7" s="41"/>
      <c r="Q7" s="25">
        <f t="shared" si="1"/>
        <v>0</v>
      </c>
      <c r="R7" s="41"/>
      <c r="S7" s="41"/>
      <c r="T7" s="25">
        <f t="shared" si="2"/>
        <v>0</v>
      </c>
      <c r="U7" s="41"/>
      <c r="V7" s="41"/>
      <c r="W7" s="25">
        <f t="shared" si="3"/>
        <v>0</v>
      </c>
      <c r="X7" s="36"/>
      <c r="Y7" s="37">
        <f t="shared" si="4"/>
        <v>0</v>
      </c>
      <c r="Z7" s="37">
        <f t="shared" si="5"/>
        <v>0</v>
      </c>
      <c r="AA7" s="37">
        <f t="shared" si="6"/>
        <v>0</v>
      </c>
      <c r="AB7" s="37">
        <f t="shared" si="7"/>
        <v>0</v>
      </c>
      <c r="AC7" s="28">
        <f t="shared" si="8"/>
        <v>0</v>
      </c>
      <c r="AD7" s="28">
        <f t="shared" si="13"/>
        <v>12</v>
      </c>
      <c r="AE7" s="29" t="str">
        <f t="shared" si="9"/>
        <v>F</v>
      </c>
      <c r="AF7" s="29">
        <f t="shared" si="14"/>
        <v>0</v>
      </c>
      <c r="AG7" s="104" t="s">
        <v>41</v>
      </c>
      <c r="AH7" s="105"/>
      <c r="AI7" s="83"/>
      <c r="AJ7" s="83"/>
      <c r="AK7" s="30" t="str">
        <f t="shared" si="10"/>
        <v>차시예정</v>
      </c>
      <c r="AL7" s="30" t="str">
        <f t="shared" si="11"/>
        <v>-</v>
      </c>
      <c r="AM7" s="30" t="str">
        <f t="shared" si="15"/>
        <v>차시예정</v>
      </c>
      <c r="AN7" s="38"/>
      <c r="AO7" s="38"/>
      <c r="AP7" s="38"/>
      <c r="AQ7" s="29">
        <f t="shared" si="12"/>
        <v>2</v>
      </c>
      <c r="AR7" s="39"/>
      <c r="AS7" s="40" t="s">
        <v>50</v>
      </c>
      <c r="AT7" s="33"/>
    </row>
    <row r="8" spans="1:49" ht="24.95" customHeight="1" x14ac:dyDescent="0.3">
      <c r="A8" s="119"/>
      <c r="B8" s="21"/>
      <c r="C8" s="43" t="s">
        <v>51</v>
      </c>
      <c r="D8" s="28"/>
      <c r="E8" s="28"/>
      <c r="F8" s="28"/>
      <c r="G8" s="28"/>
      <c r="H8" s="28"/>
      <c r="I8" s="28"/>
      <c r="J8" s="24">
        <f t="shared" si="0"/>
        <v>0</v>
      </c>
      <c r="K8" s="28"/>
      <c r="L8" s="28"/>
      <c r="M8" s="28"/>
      <c r="N8" s="28"/>
      <c r="O8" s="28"/>
      <c r="P8" s="28"/>
      <c r="Q8" s="25">
        <f t="shared" si="1"/>
        <v>0</v>
      </c>
      <c r="R8" s="28"/>
      <c r="S8" s="28"/>
      <c r="T8" s="25">
        <f t="shared" si="2"/>
        <v>0</v>
      </c>
      <c r="U8" s="28"/>
      <c r="V8" s="28"/>
      <c r="W8" s="25">
        <f t="shared" si="3"/>
        <v>0</v>
      </c>
      <c r="X8" s="36"/>
      <c r="Y8" s="37">
        <f t="shared" si="4"/>
        <v>0</v>
      </c>
      <c r="Z8" s="37">
        <f t="shared" si="5"/>
        <v>0</v>
      </c>
      <c r="AA8" s="37">
        <f t="shared" si="6"/>
        <v>0</v>
      </c>
      <c r="AB8" s="37">
        <f t="shared" si="7"/>
        <v>0</v>
      </c>
      <c r="AC8" s="28">
        <f t="shared" si="8"/>
        <v>0</v>
      </c>
      <c r="AD8" s="28">
        <f t="shared" si="13"/>
        <v>12</v>
      </c>
      <c r="AE8" s="29" t="str">
        <f t="shared" si="9"/>
        <v>F</v>
      </c>
      <c r="AF8" s="29">
        <f t="shared" si="14"/>
        <v>0</v>
      </c>
      <c r="AG8" s="104" t="s">
        <v>52</v>
      </c>
      <c r="AH8" s="105"/>
      <c r="AI8" s="83"/>
      <c r="AJ8" s="83"/>
      <c r="AK8" s="30" t="str">
        <f t="shared" si="10"/>
        <v>차시예정</v>
      </c>
      <c r="AL8" s="30" t="str">
        <f t="shared" si="11"/>
        <v>-</v>
      </c>
      <c r="AM8" s="30" t="str">
        <f t="shared" si="15"/>
        <v>차시예정</v>
      </c>
      <c r="AN8" s="38"/>
      <c r="AO8" s="38"/>
      <c r="AP8" s="38"/>
      <c r="AQ8" s="29">
        <f t="shared" si="12"/>
        <v>2</v>
      </c>
      <c r="AR8" s="42"/>
      <c r="AS8" s="44"/>
      <c r="AT8" s="33"/>
    </row>
    <row r="9" spans="1:49" ht="24.95" customHeight="1" x14ac:dyDescent="0.3">
      <c r="A9" s="119"/>
      <c r="B9" s="21"/>
      <c r="C9" s="28" t="s">
        <v>53</v>
      </c>
      <c r="D9" s="41"/>
      <c r="E9" s="41"/>
      <c r="F9" s="41"/>
      <c r="G9" s="41"/>
      <c r="H9" s="41"/>
      <c r="I9" s="41"/>
      <c r="J9" s="24">
        <f t="shared" si="0"/>
        <v>0</v>
      </c>
      <c r="K9" s="41"/>
      <c r="L9" s="41"/>
      <c r="M9" s="41"/>
      <c r="N9" s="41"/>
      <c r="O9" s="41"/>
      <c r="P9" s="41"/>
      <c r="Q9" s="25">
        <f t="shared" si="1"/>
        <v>0</v>
      </c>
      <c r="R9" s="41"/>
      <c r="S9" s="41"/>
      <c r="T9" s="25">
        <f t="shared" si="2"/>
        <v>0</v>
      </c>
      <c r="U9" s="41"/>
      <c r="V9" s="41"/>
      <c r="W9" s="25">
        <f t="shared" si="3"/>
        <v>0</v>
      </c>
      <c r="X9" s="36"/>
      <c r="Y9" s="37">
        <f t="shared" si="4"/>
        <v>0</v>
      </c>
      <c r="Z9" s="37">
        <f t="shared" si="5"/>
        <v>0</v>
      </c>
      <c r="AA9" s="37">
        <f t="shared" si="6"/>
        <v>0</v>
      </c>
      <c r="AB9" s="37">
        <f t="shared" si="7"/>
        <v>0</v>
      </c>
      <c r="AC9" s="28">
        <f t="shared" si="8"/>
        <v>0</v>
      </c>
      <c r="AD9" s="28">
        <f t="shared" si="13"/>
        <v>12</v>
      </c>
      <c r="AE9" s="29" t="str">
        <f t="shared" si="9"/>
        <v>F</v>
      </c>
      <c r="AF9" s="29">
        <f t="shared" si="14"/>
        <v>0</v>
      </c>
      <c r="AG9" s="104" t="s">
        <v>54</v>
      </c>
      <c r="AH9" s="105"/>
      <c r="AI9" s="83"/>
      <c r="AJ9" s="83"/>
      <c r="AK9" s="30" t="str">
        <f t="shared" si="10"/>
        <v>차시예정</v>
      </c>
      <c r="AL9" s="30" t="str">
        <f t="shared" si="11"/>
        <v>-</v>
      </c>
      <c r="AM9" s="30" t="str">
        <f t="shared" si="15"/>
        <v>차시예정</v>
      </c>
      <c r="AN9" s="38"/>
      <c r="AO9" s="38"/>
      <c r="AP9" s="38"/>
      <c r="AQ9" s="29">
        <f t="shared" si="12"/>
        <v>2</v>
      </c>
      <c r="AR9" s="42"/>
      <c r="AS9" s="44"/>
      <c r="AT9" s="33"/>
    </row>
    <row r="10" spans="1:49" ht="24.95" customHeight="1" x14ac:dyDescent="0.3">
      <c r="A10" s="119"/>
      <c r="B10" s="21"/>
      <c r="C10" s="22" t="s">
        <v>55</v>
      </c>
      <c r="D10" s="41">
        <v>0</v>
      </c>
      <c r="E10" s="41">
        <v>1</v>
      </c>
      <c r="F10" s="41">
        <v>1</v>
      </c>
      <c r="G10" s="41">
        <v>1</v>
      </c>
      <c r="H10" s="41">
        <v>1</v>
      </c>
      <c r="I10" s="41">
        <v>0</v>
      </c>
      <c r="J10" s="24">
        <f t="shared" si="0"/>
        <v>4</v>
      </c>
      <c r="K10" s="41">
        <v>1</v>
      </c>
      <c r="L10" s="41">
        <v>1</v>
      </c>
      <c r="M10" s="41">
        <v>0</v>
      </c>
      <c r="N10" s="41">
        <v>0</v>
      </c>
      <c r="O10" s="41">
        <v>1</v>
      </c>
      <c r="P10" s="41">
        <v>1</v>
      </c>
      <c r="Q10" s="25">
        <f t="shared" si="1"/>
        <v>4</v>
      </c>
      <c r="R10" s="41">
        <v>1</v>
      </c>
      <c r="S10" s="41">
        <v>0</v>
      </c>
      <c r="T10" s="25">
        <f t="shared" si="2"/>
        <v>1</v>
      </c>
      <c r="U10" s="41">
        <v>0</v>
      </c>
      <c r="V10" s="41">
        <v>0</v>
      </c>
      <c r="W10" s="25">
        <f t="shared" si="3"/>
        <v>0</v>
      </c>
      <c r="X10" s="36"/>
      <c r="Y10" s="37">
        <f t="shared" si="4"/>
        <v>0.66666666666666663</v>
      </c>
      <c r="Z10" s="37">
        <f t="shared" si="5"/>
        <v>0.66666666666666663</v>
      </c>
      <c r="AA10" s="37">
        <f t="shared" si="6"/>
        <v>0.5</v>
      </c>
      <c r="AB10" s="37">
        <f t="shared" si="7"/>
        <v>0</v>
      </c>
      <c r="AC10" s="28">
        <f t="shared" si="8"/>
        <v>9</v>
      </c>
      <c r="AD10" s="28">
        <f t="shared" si="13"/>
        <v>7</v>
      </c>
      <c r="AE10" s="29" t="str">
        <f t="shared" si="9"/>
        <v>F</v>
      </c>
      <c r="AF10" s="29">
        <f t="shared" si="14"/>
        <v>9</v>
      </c>
      <c r="AG10" s="104" t="s">
        <v>56</v>
      </c>
      <c r="AH10" s="105"/>
      <c r="AI10" s="83" t="s">
        <v>57</v>
      </c>
      <c r="AJ10" s="83"/>
      <c r="AK10" s="30" t="str">
        <f t="shared" si="10"/>
        <v>차시예정</v>
      </c>
      <c r="AL10" s="30" t="str">
        <f t="shared" si="11"/>
        <v>-</v>
      </c>
      <c r="AM10" s="30" t="str">
        <f>IF(AI10="P", "-","차시예정")</f>
        <v>차시예정</v>
      </c>
      <c r="AN10" s="38"/>
      <c r="AO10" s="38"/>
      <c r="AP10" s="38" t="s">
        <v>58</v>
      </c>
      <c r="AQ10" s="29">
        <f t="shared" si="12"/>
        <v>2</v>
      </c>
      <c r="AR10" s="42"/>
      <c r="AS10" s="44"/>
      <c r="AT10" s="33"/>
    </row>
    <row r="11" spans="1:49" ht="24.95" customHeight="1" x14ac:dyDescent="0.3">
      <c r="A11" s="119"/>
      <c r="B11" s="21"/>
      <c r="C11" s="28" t="s">
        <v>59</v>
      </c>
      <c r="D11" s="28"/>
      <c r="E11" s="28"/>
      <c r="F11" s="28"/>
      <c r="G11" s="28"/>
      <c r="H11" s="28"/>
      <c r="I11" s="28"/>
      <c r="J11" s="24">
        <f t="shared" si="0"/>
        <v>0</v>
      </c>
      <c r="K11" s="28"/>
      <c r="L11" s="28"/>
      <c r="M11" s="28"/>
      <c r="N11" s="28"/>
      <c r="O11" s="28"/>
      <c r="P11" s="28"/>
      <c r="Q11" s="25">
        <f t="shared" si="1"/>
        <v>0</v>
      </c>
      <c r="R11" s="28"/>
      <c r="S11" s="28"/>
      <c r="T11" s="25">
        <f t="shared" si="2"/>
        <v>0</v>
      </c>
      <c r="U11" s="28"/>
      <c r="V11" s="28"/>
      <c r="W11" s="25">
        <f t="shared" si="3"/>
        <v>0</v>
      </c>
      <c r="X11" s="36"/>
      <c r="Y11" s="37">
        <f t="shared" si="4"/>
        <v>0</v>
      </c>
      <c r="Z11" s="37">
        <f t="shared" si="5"/>
        <v>0</v>
      </c>
      <c r="AA11" s="37">
        <f t="shared" si="6"/>
        <v>0</v>
      </c>
      <c r="AB11" s="37">
        <f t="shared" si="7"/>
        <v>0</v>
      </c>
      <c r="AC11" s="28">
        <f t="shared" si="8"/>
        <v>0</v>
      </c>
      <c r="AD11" s="28">
        <f t="shared" si="13"/>
        <v>12</v>
      </c>
      <c r="AE11" s="29" t="str">
        <f t="shared" si="9"/>
        <v>F</v>
      </c>
      <c r="AF11" s="29">
        <f t="shared" si="14"/>
        <v>0</v>
      </c>
      <c r="AG11" s="104" t="s">
        <v>56</v>
      </c>
      <c r="AH11" s="105"/>
      <c r="AI11" s="83"/>
      <c r="AJ11" s="83"/>
      <c r="AK11" s="30" t="str">
        <f t="shared" si="10"/>
        <v>차시예정</v>
      </c>
      <c r="AL11" s="30" t="str">
        <f t="shared" si="11"/>
        <v>-</v>
      </c>
      <c r="AM11" s="30" t="str">
        <f t="shared" ref="AM11:AM74" si="16">IF(AI11="P", "-","차시예정")</f>
        <v>차시예정</v>
      </c>
      <c r="AN11" s="38"/>
      <c r="AO11" s="38"/>
      <c r="AP11" s="38"/>
      <c r="AQ11" s="29">
        <f t="shared" si="12"/>
        <v>2</v>
      </c>
      <c r="AR11" s="42"/>
      <c r="AS11" s="44"/>
      <c r="AT11" s="33"/>
    </row>
    <row r="12" spans="1:49" ht="24.95" customHeight="1" x14ac:dyDescent="0.3">
      <c r="A12" s="119"/>
      <c r="B12" s="21"/>
      <c r="C12" s="43" t="s">
        <v>60</v>
      </c>
      <c r="D12" s="41"/>
      <c r="E12" s="41"/>
      <c r="F12" s="41"/>
      <c r="G12" s="41"/>
      <c r="H12" s="41"/>
      <c r="I12" s="41"/>
      <c r="J12" s="24">
        <f t="shared" si="0"/>
        <v>0</v>
      </c>
      <c r="K12" s="41"/>
      <c r="L12" s="41"/>
      <c r="M12" s="41"/>
      <c r="N12" s="41"/>
      <c r="O12" s="41"/>
      <c r="P12" s="41"/>
      <c r="Q12" s="25">
        <f t="shared" si="1"/>
        <v>0</v>
      </c>
      <c r="R12" s="41"/>
      <c r="S12" s="41"/>
      <c r="T12" s="25">
        <f t="shared" si="2"/>
        <v>0</v>
      </c>
      <c r="U12" s="41"/>
      <c r="V12" s="41"/>
      <c r="W12" s="25">
        <f t="shared" si="3"/>
        <v>0</v>
      </c>
      <c r="X12" s="36"/>
      <c r="Y12" s="37">
        <f t="shared" si="4"/>
        <v>0</v>
      </c>
      <c r="Z12" s="37">
        <f t="shared" si="5"/>
        <v>0</v>
      </c>
      <c r="AA12" s="37">
        <f t="shared" si="6"/>
        <v>0</v>
      </c>
      <c r="AB12" s="37">
        <f t="shared" si="7"/>
        <v>0</v>
      </c>
      <c r="AC12" s="28">
        <f t="shared" si="8"/>
        <v>0</v>
      </c>
      <c r="AD12" s="28">
        <f t="shared" si="13"/>
        <v>12</v>
      </c>
      <c r="AE12" s="29" t="str">
        <f t="shared" si="9"/>
        <v>F</v>
      </c>
      <c r="AF12" s="29">
        <f t="shared" si="14"/>
        <v>0</v>
      </c>
      <c r="AG12" s="104" t="s">
        <v>61</v>
      </c>
      <c r="AH12" s="105"/>
      <c r="AI12" s="83"/>
      <c r="AJ12" s="83"/>
      <c r="AK12" s="30" t="str">
        <f t="shared" si="10"/>
        <v>차시예정</v>
      </c>
      <c r="AL12" s="30" t="str">
        <f t="shared" si="11"/>
        <v>-</v>
      </c>
      <c r="AM12" s="30" t="str">
        <f t="shared" si="16"/>
        <v>차시예정</v>
      </c>
      <c r="AN12" s="38"/>
      <c r="AO12" s="38"/>
      <c r="AP12" s="38"/>
      <c r="AQ12" s="29">
        <f t="shared" si="12"/>
        <v>2</v>
      </c>
      <c r="AR12" s="45"/>
      <c r="AS12" s="46"/>
      <c r="AV12" s="5" t="s">
        <v>148</v>
      </c>
    </row>
    <row r="13" spans="1:49" ht="24.95" customHeight="1" x14ac:dyDescent="0.3">
      <c r="A13" s="119"/>
      <c r="B13" s="21"/>
      <c r="C13" s="28" t="s">
        <v>62</v>
      </c>
      <c r="D13" s="41">
        <v>1</v>
      </c>
      <c r="E13" s="41">
        <v>1</v>
      </c>
      <c r="F13" s="41">
        <v>1</v>
      </c>
      <c r="G13" s="41">
        <v>0</v>
      </c>
      <c r="H13" s="41">
        <v>1</v>
      </c>
      <c r="I13" s="41">
        <v>0</v>
      </c>
      <c r="J13" s="24">
        <f t="shared" si="0"/>
        <v>4</v>
      </c>
      <c r="K13" s="41">
        <v>0</v>
      </c>
      <c r="L13" s="41">
        <v>1</v>
      </c>
      <c r="M13" s="41">
        <v>0</v>
      </c>
      <c r="N13" s="41">
        <v>0</v>
      </c>
      <c r="O13" s="41">
        <v>0</v>
      </c>
      <c r="P13" s="41">
        <v>1</v>
      </c>
      <c r="Q13" s="25">
        <f t="shared" si="1"/>
        <v>2</v>
      </c>
      <c r="R13" s="41">
        <v>1</v>
      </c>
      <c r="S13" s="41">
        <v>0</v>
      </c>
      <c r="T13" s="25">
        <f t="shared" si="2"/>
        <v>1</v>
      </c>
      <c r="U13" s="41">
        <v>0</v>
      </c>
      <c r="V13" s="41">
        <v>0</v>
      </c>
      <c r="W13" s="25">
        <f t="shared" si="3"/>
        <v>0</v>
      </c>
      <c r="X13" s="36"/>
      <c r="Y13" s="37">
        <f t="shared" si="4"/>
        <v>0.66666666666666663</v>
      </c>
      <c r="Z13" s="37">
        <f t="shared" si="5"/>
        <v>0.33333333333333331</v>
      </c>
      <c r="AA13" s="37">
        <f t="shared" si="6"/>
        <v>0.5</v>
      </c>
      <c r="AB13" s="37">
        <f t="shared" si="7"/>
        <v>0</v>
      </c>
      <c r="AC13" s="28">
        <f t="shared" si="8"/>
        <v>7</v>
      </c>
      <c r="AD13" s="28">
        <f t="shared" si="13"/>
        <v>10</v>
      </c>
      <c r="AE13" s="29" t="str">
        <f t="shared" si="9"/>
        <v>F</v>
      </c>
      <c r="AF13" s="29">
        <f t="shared" si="14"/>
        <v>7</v>
      </c>
      <c r="AG13" s="104" t="s">
        <v>63</v>
      </c>
      <c r="AH13" s="105"/>
      <c r="AI13" s="83" t="s">
        <v>54</v>
      </c>
      <c r="AJ13" s="83"/>
      <c r="AK13" s="30" t="str">
        <f t="shared" si="10"/>
        <v>차시예정</v>
      </c>
      <c r="AL13" s="30" t="str">
        <f t="shared" si="11"/>
        <v>-</v>
      </c>
      <c r="AM13" s="30" t="str">
        <f t="shared" si="16"/>
        <v>-</v>
      </c>
      <c r="AN13" s="38"/>
      <c r="AO13" s="38"/>
      <c r="AP13" s="38" t="s">
        <v>64</v>
      </c>
      <c r="AQ13" s="29">
        <f t="shared" si="12"/>
        <v>1</v>
      </c>
      <c r="AR13" s="45"/>
      <c r="AS13" s="46"/>
    </row>
    <row r="14" spans="1:49" ht="24.95" customHeight="1" x14ac:dyDescent="0.3">
      <c r="A14" s="119"/>
      <c r="B14" s="21"/>
      <c r="C14" s="28" t="s">
        <v>65</v>
      </c>
      <c r="D14" s="41"/>
      <c r="E14" s="41"/>
      <c r="F14" s="41"/>
      <c r="G14" s="41"/>
      <c r="H14" s="41"/>
      <c r="I14" s="41"/>
      <c r="J14" s="24">
        <f t="shared" si="0"/>
        <v>0</v>
      </c>
      <c r="K14" s="41"/>
      <c r="L14" s="41"/>
      <c r="M14" s="41"/>
      <c r="N14" s="41"/>
      <c r="O14" s="41"/>
      <c r="P14" s="41"/>
      <c r="Q14" s="25">
        <f t="shared" si="1"/>
        <v>0</v>
      </c>
      <c r="R14" s="41"/>
      <c r="S14" s="41"/>
      <c r="T14" s="25">
        <f t="shared" si="2"/>
        <v>0</v>
      </c>
      <c r="U14" s="41"/>
      <c r="V14" s="41"/>
      <c r="W14" s="25">
        <f t="shared" si="3"/>
        <v>0</v>
      </c>
      <c r="X14" s="36"/>
      <c r="Y14" s="37">
        <f t="shared" si="4"/>
        <v>0</v>
      </c>
      <c r="Z14" s="37">
        <f t="shared" si="5"/>
        <v>0</v>
      </c>
      <c r="AA14" s="37">
        <f t="shared" si="6"/>
        <v>0</v>
      </c>
      <c r="AB14" s="37">
        <f t="shared" si="7"/>
        <v>0</v>
      </c>
      <c r="AC14" s="28">
        <f t="shared" si="8"/>
        <v>0</v>
      </c>
      <c r="AD14" s="28">
        <f t="shared" si="13"/>
        <v>12</v>
      </c>
      <c r="AE14" s="29" t="str">
        <f t="shared" si="9"/>
        <v>F</v>
      </c>
      <c r="AF14" s="29">
        <f t="shared" si="14"/>
        <v>0</v>
      </c>
      <c r="AG14" s="104" t="s">
        <v>54</v>
      </c>
      <c r="AH14" s="105"/>
      <c r="AI14" s="83"/>
      <c r="AJ14" s="83"/>
      <c r="AK14" s="30" t="str">
        <f t="shared" si="10"/>
        <v>차시예정</v>
      </c>
      <c r="AL14" s="30" t="str">
        <f t="shared" si="11"/>
        <v>-</v>
      </c>
      <c r="AM14" s="30" t="str">
        <f t="shared" si="16"/>
        <v>차시예정</v>
      </c>
      <c r="AN14" s="38"/>
      <c r="AO14" s="38"/>
      <c r="AP14" s="38"/>
      <c r="AQ14" s="29">
        <f t="shared" si="12"/>
        <v>2</v>
      </c>
      <c r="AR14" s="45"/>
      <c r="AS14" s="46"/>
    </row>
    <row r="15" spans="1:49" ht="24.95" customHeight="1" x14ac:dyDescent="0.3">
      <c r="A15" s="119"/>
      <c r="B15" s="21"/>
      <c r="C15" s="43" t="s">
        <v>66</v>
      </c>
      <c r="D15" s="41"/>
      <c r="E15" s="41"/>
      <c r="F15" s="41"/>
      <c r="G15" s="41"/>
      <c r="H15" s="41"/>
      <c r="I15" s="41"/>
      <c r="J15" s="24">
        <f t="shared" si="0"/>
        <v>0</v>
      </c>
      <c r="K15" s="41"/>
      <c r="L15" s="41"/>
      <c r="M15" s="41"/>
      <c r="N15" s="41"/>
      <c r="O15" s="41"/>
      <c r="P15" s="41"/>
      <c r="Q15" s="25">
        <f t="shared" si="1"/>
        <v>0</v>
      </c>
      <c r="R15" s="41"/>
      <c r="S15" s="41"/>
      <c r="T15" s="25">
        <f t="shared" si="2"/>
        <v>0</v>
      </c>
      <c r="U15" s="41"/>
      <c r="V15" s="41"/>
      <c r="W15" s="25">
        <f t="shared" si="3"/>
        <v>0</v>
      </c>
      <c r="X15" s="36"/>
      <c r="Y15" s="37">
        <f t="shared" si="4"/>
        <v>0</v>
      </c>
      <c r="Z15" s="37">
        <f t="shared" si="5"/>
        <v>0</v>
      </c>
      <c r="AA15" s="37">
        <f t="shared" si="6"/>
        <v>0</v>
      </c>
      <c r="AB15" s="37">
        <f t="shared" si="7"/>
        <v>0</v>
      </c>
      <c r="AC15" s="28">
        <f t="shared" si="8"/>
        <v>0</v>
      </c>
      <c r="AD15" s="28">
        <f t="shared" si="13"/>
        <v>12</v>
      </c>
      <c r="AE15" s="29" t="str">
        <f t="shared" si="9"/>
        <v>F</v>
      </c>
      <c r="AF15" s="29">
        <f t="shared" si="14"/>
        <v>0</v>
      </c>
      <c r="AG15" s="104" t="s">
        <v>67</v>
      </c>
      <c r="AH15" s="105"/>
      <c r="AI15" s="83"/>
      <c r="AJ15" s="83"/>
      <c r="AK15" s="30" t="str">
        <f t="shared" si="10"/>
        <v>차시예정</v>
      </c>
      <c r="AL15" s="30" t="str">
        <f t="shared" si="11"/>
        <v>-</v>
      </c>
      <c r="AM15" s="30" t="str">
        <f t="shared" si="16"/>
        <v>차시예정</v>
      </c>
      <c r="AN15" s="38"/>
      <c r="AO15" s="38"/>
      <c r="AP15" s="38"/>
      <c r="AQ15" s="29">
        <f t="shared" si="12"/>
        <v>2</v>
      </c>
      <c r="AR15" s="45"/>
      <c r="AS15" s="46"/>
    </row>
    <row r="16" spans="1:49" ht="24.95" customHeight="1" x14ac:dyDescent="0.3">
      <c r="A16" s="119"/>
      <c r="B16" s="21"/>
      <c r="C16" s="28" t="s">
        <v>68</v>
      </c>
      <c r="D16" s="41"/>
      <c r="E16" s="41"/>
      <c r="F16" s="41"/>
      <c r="G16" s="41"/>
      <c r="H16" s="41"/>
      <c r="I16" s="41"/>
      <c r="J16" s="24">
        <f t="shared" si="0"/>
        <v>0</v>
      </c>
      <c r="K16" s="41"/>
      <c r="L16" s="41"/>
      <c r="M16" s="41"/>
      <c r="N16" s="41"/>
      <c r="O16" s="41"/>
      <c r="P16" s="41"/>
      <c r="Q16" s="25">
        <f t="shared" si="1"/>
        <v>0</v>
      </c>
      <c r="R16" s="41"/>
      <c r="S16" s="41"/>
      <c r="T16" s="25">
        <f t="shared" si="2"/>
        <v>0</v>
      </c>
      <c r="U16" s="41"/>
      <c r="V16" s="41"/>
      <c r="W16" s="25">
        <f t="shared" si="3"/>
        <v>0</v>
      </c>
      <c r="X16" s="36"/>
      <c r="Y16" s="37">
        <f t="shared" si="4"/>
        <v>0</v>
      </c>
      <c r="Z16" s="37">
        <f t="shared" si="5"/>
        <v>0</v>
      </c>
      <c r="AA16" s="37">
        <f t="shared" si="6"/>
        <v>0</v>
      </c>
      <c r="AB16" s="37">
        <f t="shared" si="7"/>
        <v>0</v>
      </c>
      <c r="AC16" s="28">
        <f t="shared" si="8"/>
        <v>0</v>
      </c>
      <c r="AD16" s="28">
        <f t="shared" si="13"/>
        <v>12</v>
      </c>
      <c r="AE16" s="29" t="str">
        <f t="shared" si="9"/>
        <v>F</v>
      </c>
      <c r="AF16" s="29">
        <f t="shared" si="14"/>
        <v>0</v>
      </c>
      <c r="AG16" s="104" t="s">
        <v>69</v>
      </c>
      <c r="AH16" s="105"/>
      <c r="AI16" s="83"/>
      <c r="AJ16" s="83"/>
      <c r="AK16" s="30" t="str">
        <f t="shared" si="10"/>
        <v>차시예정</v>
      </c>
      <c r="AL16" s="30" t="str">
        <f t="shared" si="11"/>
        <v>-</v>
      </c>
      <c r="AM16" s="30" t="str">
        <f t="shared" si="16"/>
        <v>차시예정</v>
      </c>
      <c r="AN16" s="38"/>
      <c r="AO16" s="38"/>
      <c r="AP16" s="38"/>
      <c r="AQ16" s="29">
        <f t="shared" si="12"/>
        <v>2</v>
      </c>
      <c r="AR16" s="45"/>
      <c r="AS16" s="46"/>
    </row>
    <row r="17" spans="1:47" ht="24.95" customHeight="1" x14ac:dyDescent="0.3">
      <c r="A17" s="119"/>
      <c r="B17" s="21"/>
      <c r="C17" s="28" t="s">
        <v>70</v>
      </c>
      <c r="D17" s="41"/>
      <c r="E17" s="41"/>
      <c r="F17" s="41"/>
      <c r="G17" s="41"/>
      <c r="H17" s="41"/>
      <c r="I17" s="41"/>
      <c r="J17" s="24">
        <f t="shared" si="0"/>
        <v>0</v>
      </c>
      <c r="K17" s="41"/>
      <c r="L17" s="41"/>
      <c r="M17" s="41"/>
      <c r="N17" s="41"/>
      <c r="O17" s="41"/>
      <c r="P17" s="41"/>
      <c r="Q17" s="25">
        <f t="shared" si="1"/>
        <v>0</v>
      </c>
      <c r="R17" s="41"/>
      <c r="S17" s="41"/>
      <c r="T17" s="25">
        <f t="shared" si="2"/>
        <v>0</v>
      </c>
      <c r="U17" s="41"/>
      <c r="V17" s="41"/>
      <c r="W17" s="25">
        <f t="shared" si="3"/>
        <v>0</v>
      </c>
      <c r="X17" s="36"/>
      <c r="Y17" s="37">
        <f t="shared" si="4"/>
        <v>0</v>
      </c>
      <c r="Z17" s="37">
        <f t="shared" si="5"/>
        <v>0</v>
      </c>
      <c r="AA17" s="37">
        <f t="shared" si="6"/>
        <v>0</v>
      </c>
      <c r="AB17" s="37">
        <f t="shared" si="7"/>
        <v>0</v>
      </c>
      <c r="AC17" s="28">
        <f t="shared" si="8"/>
        <v>0</v>
      </c>
      <c r="AD17" s="28">
        <f t="shared" si="13"/>
        <v>12</v>
      </c>
      <c r="AE17" s="29" t="str">
        <f t="shared" si="9"/>
        <v>F</v>
      </c>
      <c r="AF17" s="29">
        <f t="shared" si="14"/>
        <v>0</v>
      </c>
      <c r="AG17" s="104" t="s">
        <v>54</v>
      </c>
      <c r="AH17" s="105"/>
      <c r="AI17" s="83"/>
      <c r="AJ17" s="83"/>
      <c r="AK17" s="30" t="str">
        <f t="shared" si="10"/>
        <v>차시예정</v>
      </c>
      <c r="AL17" s="30" t="str">
        <f t="shared" si="11"/>
        <v>-</v>
      </c>
      <c r="AM17" s="30" t="str">
        <f t="shared" si="16"/>
        <v>차시예정</v>
      </c>
      <c r="AN17" s="38"/>
      <c r="AO17" s="38"/>
      <c r="AP17" s="38"/>
      <c r="AQ17" s="29">
        <f t="shared" si="12"/>
        <v>2</v>
      </c>
      <c r="AR17" s="45"/>
      <c r="AS17" s="46"/>
    </row>
    <row r="18" spans="1:47" ht="24.95" customHeight="1" x14ac:dyDescent="0.3">
      <c r="A18" s="119"/>
      <c r="B18" s="21"/>
      <c r="C18" s="28" t="s">
        <v>71</v>
      </c>
      <c r="D18" s="28"/>
      <c r="E18" s="28"/>
      <c r="F18" s="28"/>
      <c r="G18" s="28"/>
      <c r="H18" s="28"/>
      <c r="I18" s="28"/>
      <c r="J18" s="24">
        <f t="shared" si="0"/>
        <v>0</v>
      </c>
      <c r="K18" s="28"/>
      <c r="L18" s="28"/>
      <c r="M18" s="28"/>
      <c r="N18" s="28"/>
      <c r="O18" s="28"/>
      <c r="P18" s="28"/>
      <c r="Q18" s="25">
        <f t="shared" si="1"/>
        <v>0</v>
      </c>
      <c r="R18" s="28"/>
      <c r="S18" s="28"/>
      <c r="T18" s="25">
        <f t="shared" si="2"/>
        <v>0</v>
      </c>
      <c r="U18" s="28"/>
      <c r="V18" s="28"/>
      <c r="W18" s="25">
        <f t="shared" si="3"/>
        <v>0</v>
      </c>
      <c r="X18" s="36"/>
      <c r="Y18" s="37">
        <f t="shared" si="4"/>
        <v>0</v>
      </c>
      <c r="Z18" s="37">
        <f t="shared" si="5"/>
        <v>0</v>
      </c>
      <c r="AA18" s="37">
        <f t="shared" si="6"/>
        <v>0</v>
      </c>
      <c r="AB18" s="37">
        <f t="shared" si="7"/>
        <v>0</v>
      </c>
      <c r="AC18" s="28">
        <f t="shared" si="8"/>
        <v>0</v>
      </c>
      <c r="AD18" s="28">
        <f t="shared" si="13"/>
        <v>12</v>
      </c>
      <c r="AE18" s="29" t="str">
        <f t="shared" si="9"/>
        <v>F</v>
      </c>
      <c r="AF18" s="29">
        <f t="shared" si="14"/>
        <v>0</v>
      </c>
      <c r="AG18" s="104" t="s">
        <v>72</v>
      </c>
      <c r="AH18" s="105"/>
      <c r="AI18" s="83"/>
      <c r="AJ18" s="83"/>
      <c r="AK18" s="30" t="str">
        <f t="shared" si="10"/>
        <v>차시예정</v>
      </c>
      <c r="AL18" s="30" t="str">
        <f t="shared" si="11"/>
        <v>-</v>
      </c>
      <c r="AM18" s="30" t="str">
        <f t="shared" si="16"/>
        <v>차시예정</v>
      </c>
      <c r="AN18" s="38"/>
      <c r="AO18" s="38"/>
      <c r="AP18" s="38"/>
      <c r="AQ18" s="29">
        <f t="shared" si="12"/>
        <v>2</v>
      </c>
      <c r="AR18" s="45"/>
      <c r="AS18" s="46"/>
    </row>
    <row r="19" spans="1:47" ht="24.95" customHeight="1" x14ac:dyDescent="0.3">
      <c r="A19" s="119"/>
      <c r="B19" s="21"/>
      <c r="C19" s="43" t="s">
        <v>73</v>
      </c>
      <c r="D19" s="41"/>
      <c r="E19" s="41"/>
      <c r="F19" s="41"/>
      <c r="G19" s="41"/>
      <c r="H19" s="41"/>
      <c r="I19" s="41"/>
      <c r="J19" s="24">
        <f t="shared" si="0"/>
        <v>0</v>
      </c>
      <c r="K19" s="41"/>
      <c r="L19" s="41"/>
      <c r="M19" s="41"/>
      <c r="N19" s="41"/>
      <c r="O19" s="41"/>
      <c r="P19" s="41"/>
      <c r="Q19" s="25">
        <f t="shared" si="1"/>
        <v>0</v>
      </c>
      <c r="R19" s="41"/>
      <c r="S19" s="41"/>
      <c r="T19" s="25">
        <f t="shared" si="2"/>
        <v>0</v>
      </c>
      <c r="U19" s="41"/>
      <c r="V19" s="41"/>
      <c r="W19" s="25">
        <f t="shared" si="3"/>
        <v>0</v>
      </c>
      <c r="X19" s="36"/>
      <c r="Y19" s="37">
        <f t="shared" si="4"/>
        <v>0</v>
      </c>
      <c r="Z19" s="37">
        <f t="shared" si="5"/>
        <v>0</v>
      </c>
      <c r="AA19" s="37">
        <f t="shared" si="6"/>
        <v>0</v>
      </c>
      <c r="AB19" s="37">
        <f t="shared" si="7"/>
        <v>0</v>
      </c>
      <c r="AC19" s="28">
        <f t="shared" si="8"/>
        <v>0</v>
      </c>
      <c r="AD19" s="28">
        <f t="shared" si="13"/>
        <v>12</v>
      </c>
      <c r="AE19" s="29" t="str">
        <f t="shared" si="9"/>
        <v>F</v>
      </c>
      <c r="AF19" s="29">
        <f t="shared" si="14"/>
        <v>0</v>
      </c>
      <c r="AG19" s="104" t="s">
        <v>63</v>
      </c>
      <c r="AH19" s="105"/>
      <c r="AI19" s="83"/>
      <c r="AJ19" s="83"/>
      <c r="AK19" s="30" t="str">
        <f t="shared" si="10"/>
        <v>차시예정</v>
      </c>
      <c r="AL19" s="30" t="str">
        <f t="shared" si="11"/>
        <v>-</v>
      </c>
      <c r="AM19" s="30" t="str">
        <f t="shared" si="16"/>
        <v>차시예정</v>
      </c>
      <c r="AN19" s="38"/>
      <c r="AO19" s="38"/>
      <c r="AP19" s="38"/>
      <c r="AQ19" s="29">
        <f>COUNTIF(AK19:AP19, "차시예정")+COUNTIF(AK19:AP19, "X")</f>
        <v>2</v>
      </c>
      <c r="AR19" s="45"/>
      <c r="AS19" s="46"/>
    </row>
    <row r="20" spans="1:47" ht="24.95" customHeight="1" x14ac:dyDescent="0.3">
      <c r="A20" s="119"/>
      <c r="B20" s="21"/>
      <c r="C20" s="43" t="s">
        <v>74</v>
      </c>
      <c r="D20" s="41"/>
      <c r="E20" s="41"/>
      <c r="F20" s="41"/>
      <c r="G20" s="41"/>
      <c r="H20" s="41"/>
      <c r="I20" s="41"/>
      <c r="J20" s="24">
        <f t="shared" si="0"/>
        <v>0</v>
      </c>
      <c r="K20" s="41"/>
      <c r="L20" s="41"/>
      <c r="M20" s="41"/>
      <c r="N20" s="41"/>
      <c r="O20" s="41"/>
      <c r="P20" s="41"/>
      <c r="Q20" s="25">
        <f t="shared" si="1"/>
        <v>0</v>
      </c>
      <c r="R20" s="41"/>
      <c r="S20" s="41"/>
      <c r="T20" s="25">
        <f t="shared" si="2"/>
        <v>0</v>
      </c>
      <c r="U20" s="41"/>
      <c r="V20" s="41"/>
      <c r="W20" s="25">
        <f t="shared" si="3"/>
        <v>0</v>
      </c>
      <c r="X20" s="36"/>
      <c r="Y20" s="37">
        <f t="shared" si="4"/>
        <v>0</v>
      </c>
      <c r="Z20" s="37">
        <f t="shared" si="5"/>
        <v>0</v>
      </c>
      <c r="AA20" s="37">
        <f t="shared" si="6"/>
        <v>0</v>
      </c>
      <c r="AB20" s="37">
        <f t="shared" si="7"/>
        <v>0</v>
      </c>
      <c r="AC20" s="28">
        <f t="shared" si="8"/>
        <v>0</v>
      </c>
      <c r="AD20" s="28">
        <f t="shared" si="13"/>
        <v>12</v>
      </c>
      <c r="AE20" s="29" t="str">
        <f t="shared" si="9"/>
        <v>F</v>
      </c>
      <c r="AF20" s="29">
        <f t="shared" si="14"/>
        <v>0</v>
      </c>
      <c r="AG20" s="104" t="s">
        <v>75</v>
      </c>
      <c r="AH20" s="105"/>
      <c r="AI20" s="83"/>
      <c r="AJ20" s="83"/>
      <c r="AK20" s="30" t="str">
        <f t="shared" si="10"/>
        <v>차시예정</v>
      </c>
      <c r="AL20" s="30" t="str">
        <f t="shared" si="11"/>
        <v>-</v>
      </c>
      <c r="AM20" s="30" t="str">
        <f t="shared" si="16"/>
        <v>차시예정</v>
      </c>
      <c r="AN20" s="38"/>
      <c r="AO20" s="38"/>
      <c r="AP20" s="38"/>
      <c r="AQ20" s="29">
        <f t="shared" si="12"/>
        <v>2</v>
      </c>
      <c r="AR20" s="45"/>
      <c r="AS20" s="46"/>
      <c r="AT20" s="47"/>
      <c r="AU20" s="47"/>
    </row>
    <row r="21" spans="1:47" ht="24.95" customHeight="1" x14ac:dyDescent="0.3">
      <c r="A21" s="119"/>
      <c r="B21" s="21"/>
      <c r="C21" s="28" t="s">
        <v>76</v>
      </c>
      <c r="D21" s="41"/>
      <c r="E21" s="41"/>
      <c r="F21" s="41"/>
      <c r="G21" s="41"/>
      <c r="H21" s="41"/>
      <c r="I21" s="41"/>
      <c r="J21" s="24">
        <f t="shared" si="0"/>
        <v>0</v>
      </c>
      <c r="K21" s="41"/>
      <c r="L21" s="41"/>
      <c r="M21" s="41"/>
      <c r="N21" s="41"/>
      <c r="O21" s="41"/>
      <c r="P21" s="41"/>
      <c r="Q21" s="25">
        <f t="shared" si="1"/>
        <v>0</v>
      </c>
      <c r="R21" s="41"/>
      <c r="S21" s="41"/>
      <c r="T21" s="25">
        <f t="shared" si="2"/>
        <v>0</v>
      </c>
      <c r="U21" s="41"/>
      <c r="V21" s="41"/>
      <c r="W21" s="25">
        <f t="shared" si="3"/>
        <v>0</v>
      </c>
      <c r="X21" s="36"/>
      <c r="Y21" s="37">
        <f t="shared" si="4"/>
        <v>0</v>
      </c>
      <c r="Z21" s="37">
        <f t="shared" si="5"/>
        <v>0</v>
      </c>
      <c r="AA21" s="37">
        <f t="shared" si="6"/>
        <v>0</v>
      </c>
      <c r="AB21" s="37">
        <f t="shared" si="7"/>
        <v>0</v>
      </c>
      <c r="AC21" s="28">
        <f t="shared" si="8"/>
        <v>0</v>
      </c>
      <c r="AD21" s="28">
        <f t="shared" si="13"/>
        <v>12</v>
      </c>
      <c r="AE21" s="29" t="str">
        <f t="shared" si="9"/>
        <v>F</v>
      </c>
      <c r="AF21" s="29">
        <f t="shared" si="14"/>
        <v>0</v>
      </c>
      <c r="AG21" s="104" t="s">
        <v>54</v>
      </c>
      <c r="AH21" s="105"/>
      <c r="AI21" s="83"/>
      <c r="AJ21" s="83"/>
      <c r="AK21" s="30" t="str">
        <f t="shared" si="10"/>
        <v>차시예정</v>
      </c>
      <c r="AL21" s="30" t="str">
        <f t="shared" si="11"/>
        <v>-</v>
      </c>
      <c r="AM21" s="30" t="str">
        <f t="shared" si="16"/>
        <v>차시예정</v>
      </c>
      <c r="AN21" s="38"/>
      <c r="AO21" s="38"/>
      <c r="AP21" s="38"/>
      <c r="AQ21" s="29">
        <f t="shared" si="12"/>
        <v>2</v>
      </c>
      <c r="AR21" s="45"/>
      <c r="AS21" s="46"/>
    </row>
    <row r="22" spans="1:47" ht="24.95" customHeight="1" x14ac:dyDescent="0.3">
      <c r="A22" s="119"/>
      <c r="B22" s="21"/>
      <c r="C22" s="28" t="s">
        <v>77</v>
      </c>
      <c r="D22" s="28"/>
      <c r="E22" s="28"/>
      <c r="F22" s="28"/>
      <c r="G22" s="28"/>
      <c r="H22" s="28"/>
      <c r="I22" s="28"/>
      <c r="J22" s="24">
        <f t="shared" si="0"/>
        <v>0</v>
      </c>
      <c r="K22" s="28"/>
      <c r="L22" s="28"/>
      <c r="M22" s="28"/>
      <c r="N22" s="28"/>
      <c r="O22" s="28"/>
      <c r="P22" s="28"/>
      <c r="Q22" s="25">
        <f t="shared" si="1"/>
        <v>0</v>
      </c>
      <c r="R22" s="28"/>
      <c r="S22" s="28"/>
      <c r="T22" s="25">
        <f t="shared" si="2"/>
        <v>0</v>
      </c>
      <c r="U22" s="28"/>
      <c r="V22" s="28"/>
      <c r="W22" s="25">
        <f t="shared" si="3"/>
        <v>0</v>
      </c>
      <c r="X22" s="36"/>
      <c r="Y22" s="37">
        <f t="shared" si="4"/>
        <v>0</v>
      </c>
      <c r="Z22" s="37">
        <f t="shared" si="5"/>
        <v>0</v>
      </c>
      <c r="AA22" s="37">
        <f t="shared" si="6"/>
        <v>0</v>
      </c>
      <c r="AB22" s="37">
        <f t="shared" si="7"/>
        <v>0</v>
      </c>
      <c r="AC22" s="28">
        <f t="shared" si="8"/>
        <v>0</v>
      </c>
      <c r="AD22" s="28">
        <f t="shared" si="13"/>
        <v>12</v>
      </c>
      <c r="AE22" s="29" t="str">
        <f t="shared" si="9"/>
        <v>F</v>
      </c>
      <c r="AF22" s="29">
        <f t="shared" si="14"/>
        <v>0</v>
      </c>
      <c r="AG22" s="104" t="s">
        <v>35</v>
      </c>
      <c r="AH22" s="105"/>
      <c r="AI22" s="83"/>
      <c r="AJ22" s="83"/>
      <c r="AK22" s="30" t="str">
        <f t="shared" si="10"/>
        <v>차시예정</v>
      </c>
      <c r="AL22" s="30" t="str">
        <f t="shared" si="11"/>
        <v>-</v>
      </c>
      <c r="AM22" s="30" t="str">
        <f t="shared" si="16"/>
        <v>차시예정</v>
      </c>
      <c r="AN22" s="38"/>
      <c r="AO22" s="38"/>
      <c r="AP22" s="38"/>
      <c r="AQ22" s="29">
        <f t="shared" si="12"/>
        <v>2</v>
      </c>
      <c r="AR22" s="45"/>
      <c r="AS22" s="46"/>
    </row>
    <row r="23" spans="1:47" ht="24.95" customHeight="1" x14ac:dyDescent="0.3">
      <c r="A23" s="119"/>
      <c r="B23" s="21"/>
      <c r="C23" s="22" t="s">
        <v>78</v>
      </c>
      <c r="D23" s="28"/>
      <c r="E23" s="28"/>
      <c r="F23" s="28"/>
      <c r="G23" s="28"/>
      <c r="H23" s="28"/>
      <c r="I23" s="28"/>
      <c r="J23" s="24">
        <f t="shared" si="0"/>
        <v>0</v>
      </c>
      <c r="K23" s="28"/>
      <c r="L23" s="28"/>
      <c r="M23" s="28"/>
      <c r="N23" s="28"/>
      <c r="O23" s="28"/>
      <c r="P23" s="28"/>
      <c r="Q23" s="25">
        <f t="shared" si="1"/>
        <v>0</v>
      </c>
      <c r="R23" s="28"/>
      <c r="S23" s="28"/>
      <c r="T23" s="25">
        <f t="shared" si="2"/>
        <v>0</v>
      </c>
      <c r="U23" s="28"/>
      <c r="V23" s="28"/>
      <c r="W23" s="25">
        <f t="shared" si="3"/>
        <v>0</v>
      </c>
      <c r="X23" s="36"/>
      <c r="Y23" s="37">
        <f t="shared" si="4"/>
        <v>0</v>
      </c>
      <c r="Z23" s="37">
        <f t="shared" si="5"/>
        <v>0</v>
      </c>
      <c r="AA23" s="37">
        <f t="shared" si="6"/>
        <v>0</v>
      </c>
      <c r="AB23" s="37">
        <f t="shared" si="7"/>
        <v>0</v>
      </c>
      <c r="AC23" s="28">
        <f t="shared" si="8"/>
        <v>0</v>
      </c>
      <c r="AD23" s="28">
        <f t="shared" si="13"/>
        <v>12</v>
      </c>
      <c r="AE23" s="29" t="str">
        <f t="shared" si="9"/>
        <v>F</v>
      </c>
      <c r="AF23" s="29">
        <f t="shared" si="14"/>
        <v>0</v>
      </c>
      <c r="AG23" s="104" t="s">
        <v>35</v>
      </c>
      <c r="AH23" s="105"/>
      <c r="AI23" s="83"/>
      <c r="AJ23" s="83"/>
      <c r="AK23" s="30" t="str">
        <f t="shared" si="10"/>
        <v>차시예정</v>
      </c>
      <c r="AL23" s="30" t="str">
        <f t="shared" si="11"/>
        <v>-</v>
      </c>
      <c r="AM23" s="30" t="str">
        <f t="shared" si="16"/>
        <v>차시예정</v>
      </c>
      <c r="AN23" s="38"/>
      <c r="AO23" s="38"/>
      <c r="AP23" s="38"/>
      <c r="AQ23" s="29">
        <f t="shared" si="12"/>
        <v>2</v>
      </c>
      <c r="AR23" s="45"/>
      <c r="AS23" s="46"/>
      <c r="AT23" s="47"/>
    </row>
    <row r="24" spans="1:47" ht="24.95" customHeight="1" x14ac:dyDescent="0.3">
      <c r="A24" s="119"/>
      <c r="B24" s="21"/>
      <c r="C24" s="28" t="s">
        <v>79</v>
      </c>
      <c r="D24" s="41"/>
      <c r="E24" s="41"/>
      <c r="F24" s="41"/>
      <c r="G24" s="41"/>
      <c r="H24" s="41"/>
      <c r="I24" s="41"/>
      <c r="J24" s="24">
        <f t="shared" si="0"/>
        <v>0</v>
      </c>
      <c r="K24" s="41"/>
      <c r="L24" s="41"/>
      <c r="M24" s="41"/>
      <c r="N24" s="41"/>
      <c r="O24" s="41"/>
      <c r="P24" s="41"/>
      <c r="Q24" s="25">
        <f t="shared" si="1"/>
        <v>0</v>
      </c>
      <c r="R24" s="41"/>
      <c r="S24" s="41"/>
      <c r="T24" s="25">
        <f t="shared" si="2"/>
        <v>0</v>
      </c>
      <c r="U24" s="41"/>
      <c r="V24" s="41"/>
      <c r="W24" s="25">
        <f t="shared" si="3"/>
        <v>0</v>
      </c>
      <c r="X24" s="36"/>
      <c r="Y24" s="37">
        <f t="shared" si="4"/>
        <v>0</v>
      </c>
      <c r="Z24" s="37">
        <f t="shared" si="5"/>
        <v>0</v>
      </c>
      <c r="AA24" s="37">
        <f t="shared" si="6"/>
        <v>0</v>
      </c>
      <c r="AB24" s="37">
        <f t="shared" si="7"/>
        <v>0</v>
      </c>
      <c r="AC24" s="28">
        <f t="shared" si="8"/>
        <v>0</v>
      </c>
      <c r="AD24" s="28">
        <f t="shared" si="13"/>
        <v>12</v>
      </c>
      <c r="AE24" s="29" t="str">
        <f t="shared" si="9"/>
        <v>F</v>
      </c>
      <c r="AF24" s="29">
        <f t="shared" si="14"/>
        <v>0</v>
      </c>
      <c r="AG24" s="104" t="s">
        <v>80</v>
      </c>
      <c r="AH24" s="105"/>
      <c r="AI24" s="83"/>
      <c r="AJ24" s="83"/>
      <c r="AK24" s="30" t="str">
        <f t="shared" si="10"/>
        <v>차시예정</v>
      </c>
      <c r="AL24" s="30" t="str">
        <f t="shared" si="11"/>
        <v>-</v>
      </c>
      <c r="AM24" s="30" t="str">
        <f t="shared" si="16"/>
        <v>차시예정</v>
      </c>
      <c r="AN24" s="38"/>
      <c r="AO24" s="38"/>
      <c r="AP24" s="38"/>
      <c r="AQ24" s="29">
        <f t="shared" si="12"/>
        <v>2</v>
      </c>
      <c r="AR24" s="45"/>
      <c r="AS24" s="46"/>
    </row>
    <row r="25" spans="1:47" ht="24.95" customHeight="1" x14ac:dyDescent="0.3">
      <c r="A25" s="119"/>
      <c r="B25" s="21"/>
      <c r="C25" s="43" t="s">
        <v>81</v>
      </c>
      <c r="D25" s="41"/>
      <c r="E25" s="41"/>
      <c r="F25" s="41"/>
      <c r="G25" s="41"/>
      <c r="H25" s="41"/>
      <c r="I25" s="41"/>
      <c r="J25" s="24">
        <f t="shared" si="0"/>
        <v>0</v>
      </c>
      <c r="K25" s="41"/>
      <c r="L25" s="41"/>
      <c r="M25" s="41"/>
      <c r="N25" s="41"/>
      <c r="O25" s="41"/>
      <c r="P25" s="41"/>
      <c r="Q25" s="25">
        <f t="shared" si="1"/>
        <v>0</v>
      </c>
      <c r="R25" s="41"/>
      <c r="S25" s="41"/>
      <c r="T25" s="25">
        <f t="shared" si="2"/>
        <v>0</v>
      </c>
      <c r="U25" s="41"/>
      <c r="V25" s="41"/>
      <c r="W25" s="25">
        <f t="shared" si="3"/>
        <v>0</v>
      </c>
      <c r="X25" s="36"/>
      <c r="Y25" s="37">
        <f t="shared" si="4"/>
        <v>0</v>
      </c>
      <c r="Z25" s="37">
        <f t="shared" si="5"/>
        <v>0</v>
      </c>
      <c r="AA25" s="37">
        <f t="shared" si="6"/>
        <v>0</v>
      </c>
      <c r="AB25" s="37">
        <f t="shared" si="7"/>
        <v>0</v>
      </c>
      <c r="AC25" s="28">
        <f t="shared" si="8"/>
        <v>0</v>
      </c>
      <c r="AD25" s="28">
        <f t="shared" si="13"/>
        <v>12</v>
      </c>
      <c r="AE25" s="29" t="str">
        <f t="shared" si="9"/>
        <v>F</v>
      </c>
      <c r="AF25" s="29">
        <f t="shared" si="14"/>
        <v>0</v>
      </c>
      <c r="AG25" s="104" t="s">
        <v>35</v>
      </c>
      <c r="AH25" s="105"/>
      <c r="AI25" s="83"/>
      <c r="AJ25" s="83"/>
      <c r="AK25" s="30" t="str">
        <f t="shared" si="10"/>
        <v>차시예정</v>
      </c>
      <c r="AL25" s="30" t="str">
        <f t="shared" si="11"/>
        <v>-</v>
      </c>
      <c r="AM25" s="30" t="str">
        <f t="shared" si="16"/>
        <v>차시예정</v>
      </c>
      <c r="AN25" s="42"/>
      <c r="AO25" s="42"/>
      <c r="AP25" s="38"/>
      <c r="AQ25" s="29">
        <f t="shared" si="12"/>
        <v>2</v>
      </c>
      <c r="AR25" s="45"/>
      <c r="AS25" s="46"/>
    </row>
    <row r="26" spans="1:47" ht="24.95" customHeight="1" x14ac:dyDescent="0.3">
      <c r="A26" s="119"/>
      <c r="B26" s="21"/>
      <c r="C26" s="28" t="s">
        <v>82</v>
      </c>
      <c r="D26" s="41">
        <v>1</v>
      </c>
      <c r="E26" s="41">
        <v>1</v>
      </c>
      <c r="F26" s="41">
        <v>1</v>
      </c>
      <c r="G26" s="41">
        <v>1</v>
      </c>
      <c r="H26" s="41">
        <v>1</v>
      </c>
      <c r="I26" s="41">
        <v>1</v>
      </c>
      <c r="J26" s="24">
        <f t="shared" si="0"/>
        <v>6</v>
      </c>
      <c r="K26" s="41">
        <v>1</v>
      </c>
      <c r="L26" s="41">
        <v>1</v>
      </c>
      <c r="M26" s="41">
        <v>1</v>
      </c>
      <c r="N26" s="41">
        <v>1</v>
      </c>
      <c r="O26" s="41">
        <v>1</v>
      </c>
      <c r="P26" s="41">
        <v>1</v>
      </c>
      <c r="Q26" s="25">
        <f t="shared" si="1"/>
        <v>6</v>
      </c>
      <c r="R26" s="41">
        <v>1</v>
      </c>
      <c r="S26" s="41">
        <v>1</v>
      </c>
      <c r="T26" s="25">
        <f t="shared" si="2"/>
        <v>2</v>
      </c>
      <c r="U26" s="41">
        <v>1</v>
      </c>
      <c r="V26" s="41">
        <v>0</v>
      </c>
      <c r="W26" s="25">
        <f t="shared" si="3"/>
        <v>1</v>
      </c>
      <c r="X26" s="36"/>
      <c r="Y26" s="37">
        <f t="shared" si="4"/>
        <v>1</v>
      </c>
      <c r="Z26" s="37">
        <f t="shared" si="5"/>
        <v>1</v>
      </c>
      <c r="AA26" s="37">
        <f t="shared" si="6"/>
        <v>1</v>
      </c>
      <c r="AB26" s="37">
        <f t="shared" si="7"/>
        <v>0.5</v>
      </c>
      <c r="AC26" s="28">
        <f t="shared" si="8"/>
        <v>15</v>
      </c>
      <c r="AD26" s="28">
        <f t="shared" si="13"/>
        <v>1</v>
      </c>
      <c r="AE26" s="29" t="str">
        <f t="shared" si="9"/>
        <v>P</v>
      </c>
      <c r="AF26" s="29">
        <f t="shared" si="14"/>
        <v>15</v>
      </c>
      <c r="AG26" s="104" t="s">
        <v>35</v>
      </c>
      <c r="AH26" s="105"/>
      <c r="AI26" s="83" t="s">
        <v>35</v>
      </c>
      <c r="AJ26" s="83"/>
      <c r="AK26" s="30" t="str">
        <f t="shared" si="10"/>
        <v>-</v>
      </c>
      <c r="AL26" s="30" t="str">
        <f t="shared" si="11"/>
        <v>-</v>
      </c>
      <c r="AM26" s="30" t="str">
        <f t="shared" si="16"/>
        <v>-</v>
      </c>
      <c r="AN26" s="38"/>
      <c r="AO26" s="38"/>
      <c r="AP26" s="38" t="s">
        <v>83</v>
      </c>
      <c r="AQ26" s="29">
        <f t="shared" si="12"/>
        <v>1</v>
      </c>
      <c r="AR26" s="45"/>
      <c r="AS26" s="46"/>
    </row>
    <row r="27" spans="1:47" ht="24.95" customHeight="1" x14ac:dyDescent="0.3">
      <c r="A27" s="119"/>
      <c r="B27" s="21"/>
      <c r="C27" s="28" t="s">
        <v>84</v>
      </c>
      <c r="D27" s="41"/>
      <c r="E27" s="41"/>
      <c r="F27" s="41"/>
      <c r="G27" s="41"/>
      <c r="H27" s="41"/>
      <c r="I27" s="41"/>
      <c r="J27" s="24">
        <f t="shared" si="0"/>
        <v>0</v>
      </c>
      <c r="K27" s="41"/>
      <c r="L27" s="41"/>
      <c r="M27" s="41"/>
      <c r="N27" s="41"/>
      <c r="O27" s="41"/>
      <c r="P27" s="41"/>
      <c r="Q27" s="25">
        <f t="shared" si="1"/>
        <v>0</v>
      </c>
      <c r="R27" s="41"/>
      <c r="S27" s="41"/>
      <c r="T27" s="25">
        <f t="shared" si="2"/>
        <v>0</v>
      </c>
      <c r="U27" s="41"/>
      <c r="V27" s="41"/>
      <c r="W27" s="25">
        <f t="shared" si="3"/>
        <v>0</v>
      </c>
      <c r="X27" s="36"/>
      <c r="Y27" s="37">
        <f t="shared" si="4"/>
        <v>0</v>
      </c>
      <c r="Z27" s="37">
        <f t="shared" si="5"/>
        <v>0</v>
      </c>
      <c r="AA27" s="37">
        <f t="shared" si="6"/>
        <v>0</v>
      </c>
      <c r="AB27" s="37">
        <f t="shared" si="7"/>
        <v>0</v>
      </c>
      <c r="AC27" s="28">
        <f t="shared" si="8"/>
        <v>0</v>
      </c>
      <c r="AD27" s="28">
        <f t="shared" si="13"/>
        <v>12</v>
      </c>
      <c r="AE27" s="29" t="str">
        <f t="shared" si="9"/>
        <v>F</v>
      </c>
      <c r="AF27" s="29">
        <f t="shared" si="14"/>
        <v>0</v>
      </c>
      <c r="AG27" s="104" t="s">
        <v>35</v>
      </c>
      <c r="AH27" s="105"/>
      <c r="AI27" s="83"/>
      <c r="AJ27" s="83"/>
      <c r="AK27" s="30" t="str">
        <f t="shared" si="10"/>
        <v>차시예정</v>
      </c>
      <c r="AL27" s="30" t="str">
        <f t="shared" si="11"/>
        <v>-</v>
      </c>
      <c r="AM27" s="30" t="str">
        <f t="shared" si="16"/>
        <v>차시예정</v>
      </c>
      <c r="AN27" s="38"/>
      <c r="AO27" s="38"/>
      <c r="AP27" s="38"/>
      <c r="AQ27" s="29">
        <f t="shared" si="12"/>
        <v>2</v>
      </c>
      <c r="AR27" s="45"/>
      <c r="AS27" s="46"/>
    </row>
    <row r="28" spans="1:47" ht="24.95" customHeight="1" x14ac:dyDescent="0.3">
      <c r="A28" s="119"/>
      <c r="B28" s="21"/>
      <c r="C28" s="28" t="s">
        <v>85</v>
      </c>
      <c r="D28" s="28"/>
      <c r="E28" s="28"/>
      <c r="F28" s="28"/>
      <c r="G28" s="28"/>
      <c r="H28" s="28"/>
      <c r="I28" s="28"/>
      <c r="J28" s="24">
        <f t="shared" si="0"/>
        <v>0</v>
      </c>
      <c r="K28" s="28"/>
      <c r="L28" s="28"/>
      <c r="M28" s="28"/>
      <c r="N28" s="28"/>
      <c r="O28" s="28"/>
      <c r="P28" s="28"/>
      <c r="Q28" s="25">
        <f t="shared" si="1"/>
        <v>0</v>
      </c>
      <c r="R28" s="28"/>
      <c r="S28" s="28"/>
      <c r="T28" s="25">
        <f t="shared" si="2"/>
        <v>0</v>
      </c>
      <c r="U28" s="28"/>
      <c r="V28" s="28"/>
      <c r="W28" s="25">
        <f t="shared" si="3"/>
        <v>0</v>
      </c>
      <c r="X28" s="36"/>
      <c r="Y28" s="37">
        <f t="shared" si="4"/>
        <v>0</v>
      </c>
      <c r="Z28" s="37">
        <f t="shared" si="5"/>
        <v>0</v>
      </c>
      <c r="AA28" s="37">
        <f t="shared" si="6"/>
        <v>0</v>
      </c>
      <c r="AB28" s="37">
        <f t="shared" si="7"/>
        <v>0</v>
      </c>
      <c r="AC28" s="28">
        <f t="shared" si="8"/>
        <v>0</v>
      </c>
      <c r="AD28" s="28">
        <f t="shared" si="13"/>
        <v>12</v>
      </c>
      <c r="AE28" s="29" t="str">
        <f t="shared" si="9"/>
        <v>F</v>
      </c>
      <c r="AF28" s="29">
        <f t="shared" si="14"/>
        <v>0</v>
      </c>
      <c r="AG28" s="104" t="s">
        <v>80</v>
      </c>
      <c r="AH28" s="105"/>
      <c r="AI28" s="83"/>
      <c r="AJ28" s="83"/>
      <c r="AK28" s="30" t="str">
        <f t="shared" si="10"/>
        <v>차시예정</v>
      </c>
      <c r="AL28" s="30" t="str">
        <f t="shared" si="11"/>
        <v>-</v>
      </c>
      <c r="AM28" s="30" t="str">
        <f t="shared" si="16"/>
        <v>차시예정</v>
      </c>
      <c r="AN28" s="38"/>
      <c r="AO28" s="38"/>
      <c r="AP28" s="38"/>
      <c r="AQ28" s="29">
        <f t="shared" si="12"/>
        <v>2</v>
      </c>
      <c r="AR28" s="45"/>
      <c r="AS28" s="46"/>
    </row>
    <row r="29" spans="1:47" ht="24.95" customHeight="1" x14ac:dyDescent="0.3">
      <c r="A29" s="119"/>
      <c r="B29" s="21"/>
      <c r="C29" s="41" t="s">
        <v>86</v>
      </c>
      <c r="D29" s="41"/>
      <c r="E29" s="41"/>
      <c r="F29" s="41"/>
      <c r="G29" s="41"/>
      <c r="H29" s="41"/>
      <c r="I29" s="41"/>
      <c r="J29" s="24">
        <f t="shared" si="0"/>
        <v>0</v>
      </c>
      <c r="K29" s="41"/>
      <c r="L29" s="41"/>
      <c r="M29" s="41"/>
      <c r="N29" s="41"/>
      <c r="O29" s="41"/>
      <c r="P29" s="41"/>
      <c r="Q29" s="25">
        <f t="shared" si="1"/>
        <v>0</v>
      </c>
      <c r="R29" s="41"/>
      <c r="S29" s="41"/>
      <c r="T29" s="25">
        <f t="shared" si="2"/>
        <v>0</v>
      </c>
      <c r="U29" s="41"/>
      <c r="V29" s="41"/>
      <c r="W29" s="25">
        <f t="shared" si="3"/>
        <v>0</v>
      </c>
      <c r="X29" s="36"/>
      <c r="Y29" s="37">
        <f t="shared" si="4"/>
        <v>0</v>
      </c>
      <c r="Z29" s="37">
        <f t="shared" si="5"/>
        <v>0</v>
      </c>
      <c r="AA29" s="37">
        <f t="shared" si="6"/>
        <v>0</v>
      </c>
      <c r="AB29" s="37">
        <f t="shared" si="7"/>
        <v>0</v>
      </c>
      <c r="AC29" s="28">
        <f t="shared" si="8"/>
        <v>0</v>
      </c>
      <c r="AD29" s="28">
        <f t="shared" si="13"/>
        <v>12</v>
      </c>
      <c r="AE29" s="29" t="str">
        <f t="shared" si="9"/>
        <v>F</v>
      </c>
      <c r="AF29" s="29">
        <f t="shared" si="14"/>
        <v>0</v>
      </c>
      <c r="AG29" s="104" t="s">
        <v>35</v>
      </c>
      <c r="AH29" s="105"/>
      <c r="AI29" s="104"/>
      <c r="AJ29" s="105"/>
      <c r="AK29" s="30" t="str">
        <f t="shared" si="10"/>
        <v>차시예정</v>
      </c>
      <c r="AL29" s="30" t="str">
        <f t="shared" si="11"/>
        <v>-</v>
      </c>
      <c r="AM29" s="30" t="str">
        <f t="shared" si="16"/>
        <v>차시예정</v>
      </c>
      <c r="AN29" s="38"/>
      <c r="AO29" s="38"/>
      <c r="AP29" s="38"/>
      <c r="AQ29" s="29">
        <f t="shared" si="12"/>
        <v>2</v>
      </c>
      <c r="AR29" s="45"/>
      <c r="AS29" s="46"/>
    </row>
    <row r="30" spans="1:47" ht="24.95" customHeight="1" x14ac:dyDescent="0.3">
      <c r="A30" s="119"/>
      <c r="B30" s="21"/>
      <c r="C30" s="41" t="s">
        <v>87</v>
      </c>
      <c r="D30" s="41">
        <v>1</v>
      </c>
      <c r="E30" s="41">
        <v>1</v>
      </c>
      <c r="F30" s="41">
        <v>1</v>
      </c>
      <c r="G30" s="41">
        <v>0</v>
      </c>
      <c r="H30" s="41">
        <v>1</v>
      </c>
      <c r="I30" s="41">
        <v>1</v>
      </c>
      <c r="J30" s="24">
        <f t="shared" si="0"/>
        <v>5</v>
      </c>
      <c r="K30" s="41">
        <v>0</v>
      </c>
      <c r="L30" s="41">
        <v>0</v>
      </c>
      <c r="M30" s="41">
        <v>1</v>
      </c>
      <c r="N30" s="41">
        <v>1</v>
      </c>
      <c r="O30" s="41">
        <v>1</v>
      </c>
      <c r="P30" s="41">
        <v>1</v>
      </c>
      <c r="Q30" s="25">
        <f t="shared" si="1"/>
        <v>4</v>
      </c>
      <c r="R30" s="41">
        <v>1</v>
      </c>
      <c r="S30" s="41">
        <v>1</v>
      </c>
      <c r="T30" s="25">
        <f t="shared" si="2"/>
        <v>2</v>
      </c>
      <c r="U30" s="41">
        <v>1</v>
      </c>
      <c r="V30" s="41">
        <v>1</v>
      </c>
      <c r="W30" s="25">
        <f t="shared" si="3"/>
        <v>2</v>
      </c>
      <c r="X30" s="36"/>
      <c r="Y30" s="37">
        <f t="shared" si="4"/>
        <v>0.83333333333333337</v>
      </c>
      <c r="Z30" s="37">
        <f t="shared" si="5"/>
        <v>0.66666666666666663</v>
      </c>
      <c r="AA30" s="37">
        <f t="shared" si="6"/>
        <v>1</v>
      </c>
      <c r="AB30" s="37">
        <f t="shared" si="7"/>
        <v>1</v>
      </c>
      <c r="AC30" s="28">
        <f t="shared" si="8"/>
        <v>13</v>
      </c>
      <c r="AD30" s="28">
        <f t="shared" si="13"/>
        <v>3</v>
      </c>
      <c r="AE30" s="29" t="str">
        <f t="shared" si="9"/>
        <v>P</v>
      </c>
      <c r="AF30" s="29">
        <f t="shared" si="14"/>
        <v>13</v>
      </c>
      <c r="AG30" s="104" t="s">
        <v>35</v>
      </c>
      <c r="AH30" s="105"/>
      <c r="AI30" s="104" t="s">
        <v>35</v>
      </c>
      <c r="AJ30" s="105"/>
      <c r="AK30" s="30" t="str">
        <f t="shared" si="10"/>
        <v>-</v>
      </c>
      <c r="AL30" s="30" t="str">
        <f t="shared" si="11"/>
        <v>-</v>
      </c>
      <c r="AM30" s="30" t="str">
        <f t="shared" si="16"/>
        <v>-</v>
      </c>
      <c r="AN30" s="42"/>
      <c r="AO30" s="38"/>
      <c r="AP30" s="38" t="s">
        <v>83</v>
      </c>
      <c r="AQ30" s="29">
        <f t="shared" si="12"/>
        <v>1</v>
      </c>
      <c r="AR30" s="45"/>
      <c r="AS30" s="46"/>
    </row>
    <row r="31" spans="1:47" ht="24.95" customHeight="1" x14ac:dyDescent="0.3">
      <c r="A31" s="119"/>
      <c r="B31" s="21"/>
      <c r="C31" s="41" t="s">
        <v>88</v>
      </c>
      <c r="D31" s="41"/>
      <c r="E31" s="41"/>
      <c r="F31" s="41"/>
      <c r="G31" s="41"/>
      <c r="H31" s="41"/>
      <c r="I31" s="41"/>
      <c r="J31" s="24">
        <f t="shared" si="0"/>
        <v>0</v>
      </c>
      <c r="K31" s="41"/>
      <c r="L31" s="41"/>
      <c r="M31" s="41"/>
      <c r="N31" s="41"/>
      <c r="O31" s="41"/>
      <c r="P31" s="41"/>
      <c r="Q31" s="25">
        <f t="shared" si="1"/>
        <v>0</v>
      </c>
      <c r="R31" s="41"/>
      <c r="S31" s="41"/>
      <c r="T31" s="25">
        <f t="shared" si="2"/>
        <v>0</v>
      </c>
      <c r="U31" s="41"/>
      <c r="V31" s="41"/>
      <c r="W31" s="25">
        <f t="shared" si="3"/>
        <v>0</v>
      </c>
      <c r="X31" s="36"/>
      <c r="Y31" s="37">
        <f t="shared" si="4"/>
        <v>0</v>
      </c>
      <c r="Z31" s="37">
        <f t="shared" si="5"/>
        <v>0</v>
      </c>
      <c r="AA31" s="37">
        <f t="shared" si="6"/>
        <v>0</v>
      </c>
      <c r="AB31" s="37">
        <f t="shared" si="7"/>
        <v>0</v>
      </c>
      <c r="AC31" s="28">
        <f t="shared" si="8"/>
        <v>0</v>
      </c>
      <c r="AD31" s="28">
        <f t="shared" si="13"/>
        <v>12</v>
      </c>
      <c r="AE31" s="29" t="str">
        <f t="shared" si="9"/>
        <v>F</v>
      </c>
      <c r="AF31" s="29">
        <f t="shared" si="14"/>
        <v>0</v>
      </c>
      <c r="AG31" s="104" t="s">
        <v>35</v>
      </c>
      <c r="AH31" s="105"/>
      <c r="AI31" s="104"/>
      <c r="AJ31" s="105"/>
      <c r="AK31" s="30" t="str">
        <f t="shared" si="10"/>
        <v>차시예정</v>
      </c>
      <c r="AL31" s="30" t="str">
        <f t="shared" si="11"/>
        <v>-</v>
      </c>
      <c r="AM31" s="30" t="str">
        <f t="shared" si="16"/>
        <v>차시예정</v>
      </c>
      <c r="AN31" s="38"/>
      <c r="AO31" s="38"/>
      <c r="AP31" s="38"/>
      <c r="AQ31" s="29">
        <f t="shared" si="12"/>
        <v>2</v>
      </c>
      <c r="AR31" s="45"/>
      <c r="AS31" s="46"/>
    </row>
    <row r="32" spans="1:47" ht="24.95" customHeight="1" x14ac:dyDescent="0.3">
      <c r="A32" s="119"/>
      <c r="B32" s="21"/>
      <c r="C32" s="41" t="s">
        <v>89</v>
      </c>
      <c r="D32" s="41">
        <v>0</v>
      </c>
      <c r="E32" s="41">
        <v>0</v>
      </c>
      <c r="F32" s="41">
        <v>1</v>
      </c>
      <c r="G32" s="41">
        <v>1</v>
      </c>
      <c r="H32" s="41">
        <v>1</v>
      </c>
      <c r="I32" s="41">
        <v>1</v>
      </c>
      <c r="J32" s="24">
        <f t="shared" si="0"/>
        <v>4</v>
      </c>
      <c r="K32" s="41">
        <v>0</v>
      </c>
      <c r="L32" s="41">
        <v>1</v>
      </c>
      <c r="M32" s="41">
        <v>1</v>
      </c>
      <c r="N32" s="41">
        <v>0</v>
      </c>
      <c r="O32" s="41">
        <v>1</v>
      </c>
      <c r="P32" s="41">
        <v>1</v>
      </c>
      <c r="Q32" s="25">
        <f t="shared" si="1"/>
        <v>4</v>
      </c>
      <c r="R32" s="41">
        <v>1</v>
      </c>
      <c r="S32" s="41">
        <v>1</v>
      </c>
      <c r="T32" s="25">
        <f t="shared" si="2"/>
        <v>2</v>
      </c>
      <c r="U32" s="41">
        <v>1</v>
      </c>
      <c r="V32" s="41">
        <v>0</v>
      </c>
      <c r="W32" s="25">
        <f t="shared" si="3"/>
        <v>1</v>
      </c>
      <c r="X32" s="36"/>
      <c r="Y32" s="37">
        <f t="shared" si="4"/>
        <v>0.66666666666666663</v>
      </c>
      <c r="Z32" s="37">
        <f t="shared" si="5"/>
        <v>0.66666666666666663</v>
      </c>
      <c r="AA32" s="37">
        <f t="shared" si="6"/>
        <v>1</v>
      </c>
      <c r="AB32" s="37">
        <f t="shared" si="7"/>
        <v>0.5</v>
      </c>
      <c r="AC32" s="28">
        <f t="shared" si="8"/>
        <v>11</v>
      </c>
      <c r="AD32" s="28">
        <f t="shared" si="13"/>
        <v>5</v>
      </c>
      <c r="AE32" s="29" t="str">
        <f t="shared" si="9"/>
        <v>F</v>
      </c>
      <c r="AF32" s="29">
        <f t="shared" si="14"/>
        <v>11</v>
      </c>
      <c r="AG32" s="104" t="s">
        <v>35</v>
      </c>
      <c r="AH32" s="105"/>
      <c r="AI32" s="104" t="s">
        <v>35</v>
      </c>
      <c r="AJ32" s="105"/>
      <c r="AK32" s="30" t="str">
        <f t="shared" si="10"/>
        <v>차시예정</v>
      </c>
      <c r="AL32" s="30" t="str">
        <f t="shared" si="11"/>
        <v>-</v>
      </c>
      <c r="AM32" s="30" t="str">
        <f t="shared" si="16"/>
        <v>-</v>
      </c>
      <c r="AN32" s="38"/>
      <c r="AO32" s="38"/>
      <c r="AP32" s="38" t="s">
        <v>90</v>
      </c>
      <c r="AQ32" s="29">
        <f t="shared" si="12"/>
        <v>1</v>
      </c>
      <c r="AR32" s="45"/>
      <c r="AS32" s="46"/>
    </row>
    <row r="33" spans="1:46" ht="24.95" customHeight="1" x14ac:dyDescent="0.3">
      <c r="A33" s="119"/>
      <c r="B33" s="21"/>
      <c r="C33" s="41" t="s">
        <v>91</v>
      </c>
      <c r="D33" s="41"/>
      <c r="E33" s="41"/>
      <c r="F33" s="41"/>
      <c r="G33" s="41"/>
      <c r="H33" s="41"/>
      <c r="I33" s="41"/>
      <c r="J33" s="24">
        <f t="shared" si="0"/>
        <v>0</v>
      </c>
      <c r="K33" s="41"/>
      <c r="L33" s="41"/>
      <c r="M33" s="41"/>
      <c r="N33" s="41"/>
      <c r="O33" s="41"/>
      <c r="P33" s="41"/>
      <c r="Q33" s="25">
        <f t="shared" si="1"/>
        <v>0</v>
      </c>
      <c r="R33" s="41"/>
      <c r="S33" s="41"/>
      <c r="T33" s="25">
        <f t="shared" si="2"/>
        <v>0</v>
      </c>
      <c r="U33" s="41"/>
      <c r="V33" s="41"/>
      <c r="W33" s="25">
        <f t="shared" si="3"/>
        <v>0</v>
      </c>
      <c r="X33" s="36"/>
      <c r="Y33" s="37">
        <f t="shared" si="4"/>
        <v>0</v>
      </c>
      <c r="Z33" s="37">
        <f t="shared" si="5"/>
        <v>0</v>
      </c>
      <c r="AA33" s="37">
        <f t="shared" si="6"/>
        <v>0</v>
      </c>
      <c r="AB33" s="37">
        <f t="shared" si="7"/>
        <v>0</v>
      </c>
      <c r="AC33" s="28">
        <f t="shared" si="8"/>
        <v>0</v>
      </c>
      <c r="AD33" s="28">
        <f t="shared" si="13"/>
        <v>12</v>
      </c>
      <c r="AE33" s="29" t="str">
        <f t="shared" si="9"/>
        <v>F</v>
      </c>
      <c r="AF33" s="29">
        <f t="shared" si="14"/>
        <v>0</v>
      </c>
      <c r="AG33" s="104" t="s">
        <v>35</v>
      </c>
      <c r="AH33" s="105"/>
      <c r="AI33" s="104"/>
      <c r="AJ33" s="105"/>
      <c r="AK33" s="30" t="str">
        <f t="shared" si="10"/>
        <v>차시예정</v>
      </c>
      <c r="AL33" s="30" t="str">
        <f t="shared" si="11"/>
        <v>-</v>
      </c>
      <c r="AM33" s="30" t="str">
        <f t="shared" si="16"/>
        <v>차시예정</v>
      </c>
      <c r="AN33" s="38"/>
      <c r="AO33" s="38"/>
      <c r="AP33" s="38"/>
      <c r="AQ33" s="29">
        <f t="shared" si="12"/>
        <v>2</v>
      </c>
      <c r="AR33" s="45"/>
      <c r="AS33" s="46"/>
    </row>
    <row r="34" spans="1:46" ht="24.95" customHeight="1" x14ac:dyDescent="0.3">
      <c r="A34" s="119"/>
      <c r="B34" s="21"/>
      <c r="C34" s="41" t="s">
        <v>92</v>
      </c>
      <c r="D34" s="41"/>
      <c r="E34" s="41"/>
      <c r="F34" s="41"/>
      <c r="G34" s="41"/>
      <c r="H34" s="41"/>
      <c r="I34" s="41"/>
      <c r="J34" s="24">
        <f t="shared" si="0"/>
        <v>0</v>
      </c>
      <c r="K34" s="41"/>
      <c r="L34" s="41"/>
      <c r="M34" s="41"/>
      <c r="N34" s="41"/>
      <c r="O34" s="41"/>
      <c r="P34" s="41"/>
      <c r="Q34" s="25">
        <f t="shared" si="1"/>
        <v>0</v>
      </c>
      <c r="R34" s="41"/>
      <c r="S34" s="41"/>
      <c r="T34" s="25">
        <f t="shared" si="2"/>
        <v>0</v>
      </c>
      <c r="U34" s="41"/>
      <c r="V34" s="41"/>
      <c r="W34" s="25">
        <f t="shared" si="3"/>
        <v>0</v>
      </c>
      <c r="X34" s="36"/>
      <c r="Y34" s="37">
        <f t="shared" si="4"/>
        <v>0</v>
      </c>
      <c r="Z34" s="37">
        <f t="shared" si="5"/>
        <v>0</v>
      </c>
      <c r="AA34" s="37">
        <f t="shared" si="6"/>
        <v>0</v>
      </c>
      <c r="AB34" s="37">
        <f t="shared" si="7"/>
        <v>0</v>
      </c>
      <c r="AC34" s="28">
        <f t="shared" si="8"/>
        <v>0</v>
      </c>
      <c r="AD34" s="28">
        <f t="shared" si="13"/>
        <v>12</v>
      </c>
      <c r="AE34" s="29" t="str">
        <f t="shared" si="9"/>
        <v>F</v>
      </c>
      <c r="AF34" s="29">
        <f t="shared" si="14"/>
        <v>0</v>
      </c>
      <c r="AG34" s="104" t="s">
        <v>80</v>
      </c>
      <c r="AH34" s="105"/>
      <c r="AI34" s="104"/>
      <c r="AJ34" s="105"/>
      <c r="AK34" s="30" t="str">
        <f t="shared" si="10"/>
        <v>차시예정</v>
      </c>
      <c r="AL34" s="30" t="str">
        <f t="shared" si="11"/>
        <v>-</v>
      </c>
      <c r="AM34" s="30" t="str">
        <f t="shared" si="16"/>
        <v>차시예정</v>
      </c>
      <c r="AN34" s="38"/>
      <c r="AO34" s="38"/>
      <c r="AP34" s="38"/>
      <c r="AQ34" s="29">
        <f t="shared" si="12"/>
        <v>2</v>
      </c>
      <c r="AR34" s="45"/>
      <c r="AS34" s="46"/>
    </row>
    <row r="35" spans="1:46" ht="24.95" customHeight="1" x14ac:dyDescent="0.3">
      <c r="A35" s="119"/>
      <c r="B35" s="21"/>
      <c r="C35" s="41" t="s">
        <v>93</v>
      </c>
      <c r="D35" s="41"/>
      <c r="E35" s="41"/>
      <c r="F35" s="41"/>
      <c r="G35" s="41"/>
      <c r="H35" s="41"/>
      <c r="I35" s="41"/>
      <c r="J35" s="24">
        <f t="shared" si="0"/>
        <v>0</v>
      </c>
      <c r="K35" s="41"/>
      <c r="L35" s="41"/>
      <c r="M35" s="41"/>
      <c r="N35" s="41"/>
      <c r="O35" s="41"/>
      <c r="P35" s="41"/>
      <c r="Q35" s="25">
        <f t="shared" si="1"/>
        <v>0</v>
      </c>
      <c r="R35" s="41"/>
      <c r="S35" s="41"/>
      <c r="T35" s="25">
        <f t="shared" si="2"/>
        <v>0</v>
      </c>
      <c r="U35" s="41"/>
      <c r="V35" s="41"/>
      <c r="W35" s="25">
        <f t="shared" si="3"/>
        <v>0</v>
      </c>
      <c r="X35" s="36"/>
      <c r="Y35" s="37">
        <f t="shared" si="4"/>
        <v>0</v>
      </c>
      <c r="Z35" s="37">
        <f t="shared" si="5"/>
        <v>0</v>
      </c>
      <c r="AA35" s="37">
        <f t="shared" si="6"/>
        <v>0</v>
      </c>
      <c r="AB35" s="37">
        <f t="shared" si="7"/>
        <v>0</v>
      </c>
      <c r="AC35" s="28">
        <f t="shared" si="8"/>
        <v>0</v>
      </c>
      <c r="AD35" s="28">
        <f t="shared" si="13"/>
        <v>12</v>
      </c>
      <c r="AE35" s="29" t="str">
        <f t="shared" si="9"/>
        <v>F</v>
      </c>
      <c r="AF35" s="29">
        <f t="shared" si="14"/>
        <v>0</v>
      </c>
      <c r="AG35" s="104" t="s">
        <v>35</v>
      </c>
      <c r="AH35" s="105"/>
      <c r="AI35" s="104"/>
      <c r="AJ35" s="105"/>
      <c r="AK35" s="30" t="str">
        <f t="shared" si="10"/>
        <v>차시예정</v>
      </c>
      <c r="AL35" s="30" t="str">
        <f t="shared" si="11"/>
        <v>-</v>
      </c>
      <c r="AM35" s="30" t="str">
        <f t="shared" si="16"/>
        <v>차시예정</v>
      </c>
      <c r="AN35" s="38"/>
      <c r="AO35" s="38"/>
      <c r="AP35" s="38"/>
      <c r="AQ35" s="29">
        <f t="shared" si="12"/>
        <v>2</v>
      </c>
      <c r="AR35" s="45"/>
      <c r="AS35" s="46"/>
    </row>
    <row r="36" spans="1:46" ht="24.95" customHeight="1" x14ac:dyDescent="0.3">
      <c r="A36" s="119"/>
      <c r="B36" s="21"/>
      <c r="C36" s="41" t="s">
        <v>94</v>
      </c>
      <c r="D36" s="41"/>
      <c r="E36" s="41"/>
      <c r="F36" s="41"/>
      <c r="G36" s="41"/>
      <c r="H36" s="41"/>
      <c r="I36" s="41"/>
      <c r="J36" s="24">
        <f t="shared" si="0"/>
        <v>0</v>
      </c>
      <c r="K36" s="41"/>
      <c r="L36" s="41"/>
      <c r="M36" s="41"/>
      <c r="N36" s="41"/>
      <c r="O36" s="41"/>
      <c r="P36" s="41"/>
      <c r="Q36" s="25">
        <f t="shared" si="1"/>
        <v>0</v>
      </c>
      <c r="R36" s="41"/>
      <c r="S36" s="41"/>
      <c r="T36" s="25">
        <f t="shared" ref="T36:T67" si="17">SUM(R36:S36)</f>
        <v>0</v>
      </c>
      <c r="U36" s="41"/>
      <c r="V36" s="41"/>
      <c r="W36" s="25">
        <f t="shared" si="3"/>
        <v>0</v>
      </c>
      <c r="X36" s="36"/>
      <c r="Y36" s="37">
        <f t="shared" si="4"/>
        <v>0</v>
      </c>
      <c r="Z36" s="37">
        <f t="shared" si="5"/>
        <v>0</v>
      </c>
      <c r="AA36" s="37">
        <f t="shared" si="6"/>
        <v>0</v>
      </c>
      <c r="AB36" s="37">
        <f t="shared" si="7"/>
        <v>0</v>
      </c>
      <c r="AC36" s="28">
        <f t="shared" si="8"/>
        <v>0</v>
      </c>
      <c r="AD36" s="28">
        <f t="shared" si="13"/>
        <v>12</v>
      </c>
      <c r="AE36" s="29" t="str">
        <f t="shared" si="9"/>
        <v>F</v>
      </c>
      <c r="AF36" s="29">
        <f t="shared" si="14"/>
        <v>0</v>
      </c>
      <c r="AG36" s="104" t="s">
        <v>35</v>
      </c>
      <c r="AH36" s="105"/>
      <c r="AI36" s="104"/>
      <c r="AJ36" s="105"/>
      <c r="AK36" s="30" t="str">
        <f t="shared" si="10"/>
        <v>차시예정</v>
      </c>
      <c r="AL36" s="30" t="str">
        <f t="shared" si="11"/>
        <v>-</v>
      </c>
      <c r="AM36" s="30" t="str">
        <f t="shared" si="16"/>
        <v>차시예정</v>
      </c>
      <c r="AN36" s="38"/>
      <c r="AO36" s="38"/>
      <c r="AP36" s="38"/>
      <c r="AQ36" s="29">
        <f t="shared" si="12"/>
        <v>2</v>
      </c>
      <c r="AR36" s="45"/>
      <c r="AS36" s="46"/>
    </row>
    <row r="37" spans="1:46" ht="24.95" customHeight="1" x14ac:dyDescent="0.3">
      <c r="A37" s="119"/>
      <c r="B37" s="21"/>
      <c r="C37" s="41" t="s">
        <v>95</v>
      </c>
      <c r="D37" s="41"/>
      <c r="E37" s="41"/>
      <c r="F37" s="41"/>
      <c r="G37" s="41"/>
      <c r="H37" s="41"/>
      <c r="I37" s="41"/>
      <c r="J37" s="24">
        <f t="shared" si="0"/>
        <v>0</v>
      </c>
      <c r="K37" s="41"/>
      <c r="L37" s="41"/>
      <c r="M37" s="41"/>
      <c r="N37" s="41"/>
      <c r="O37" s="41"/>
      <c r="P37" s="41"/>
      <c r="Q37" s="25">
        <f t="shared" si="1"/>
        <v>0</v>
      </c>
      <c r="R37" s="41"/>
      <c r="S37" s="41"/>
      <c r="T37" s="25">
        <f t="shared" si="17"/>
        <v>0</v>
      </c>
      <c r="U37" s="41"/>
      <c r="V37" s="41"/>
      <c r="W37" s="25">
        <f t="shared" si="3"/>
        <v>0</v>
      </c>
      <c r="X37" s="36"/>
      <c r="Y37" s="37">
        <f t="shared" si="4"/>
        <v>0</v>
      </c>
      <c r="Z37" s="37">
        <f t="shared" si="5"/>
        <v>0</v>
      </c>
      <c r="AA37" s="37">
        <f t="shared" si="6"/>
        <v>0</v>
      </c>
      <c r="AB37" s="37">
        <f t="shared" si="7"/>
        <v>0</v>
      </c>
      <c r="AC37" s="28">
        <f t="shared" si="8"/>
        <v>0</v>
      </c>
      <c r="AD37" s="28">
        <f t="shared" si="13"/>
        <v>12</v>
      </c>
      <c r="AE37" s="29" t="str">
        <f t="shared" si="9"/>
        <v>F</v>
      </c>
      <c r="AF37" s="29">
        <f t="shared" si="14"/>
        <v>0</v>
      </c>
      <c r="AG37" s="104" t="s">
        <v>35</v>
      </c>
      <c r="AH37" s="105"/>
      <c r="AI37" s="104"/>
      <c r="AJ37" s="105"/>
      <c r="AK37" s="30" t="str">
        <f t="shared" si="10"/>
        <v>차시예정</v>
      </c>
      <c r="AL37" s="30" t="str">
        <f t="shared" si="11"/>
        <v>-</v>
      </c>
      <c r="AM37" s="30" t="str">
        <f t="shared" si="16"/>
        <v>차시예정</v>
      </c>
      <c r="AN37" s="38"/>
      <c r="AO37" s="38"/>
      <c r="AP37" s="38"/>
      <c r="AQ37" s="29">
        <f t="shared" si="12"/>
        <v>2</v>
      </c>
      <c r="AR37" s="45"/>
      <c r="AS37" s="46"/>
    </row>
    <row r="38" spans="1:46" ht="24.95" customHeight="1" x14ac:dyDescent="0.3">
      <c r="A38" s="119"/>
      <c r="B38" s="21"/>
      <c r="C38" s="41" t="s">
        <v>96</v>
      </c>
      <c r="D38" s="41"/>
      <c r="E38" s="41"/>
      <c r="F38" s="41"/>
      <c r="G38" s="41"/>
      <c r="H38" s="41"/>
      <c r="I38" s="41"/>
      <c r="J38" s="24">
        <f t="shared" si="0"/>
        <v>0</v>
      </c>
      <c r="K38" s="41"/>
      <c r="L38" s="41"/>
      <c r="M38" s="41"/>
      <c r="N38" s="41"/>
      <c r="O38" s="41"/>
      <c r="P38" s="41"/>
      <c r="Q38" s="25">
        <f t="shared" si="1"/>
        <v>0</v>
      </c>
      <c r="R38" s="41"/>
      <c r="S38" s="41"/>
      <c r="T38" s="25">
        <f t="shared" si="17"/>
        <v>0</v>
      </c>
      <c r="U38" s="41"/>
      <c r="V38" s="41"/>
      <c r="W38" s="25">
        <f t="shared" si="3"/>
        <v>0</v>
      </c>
      <c r="X38" s="36"/>
      <c r="Y38" s="37">
        <f t="shared" si="4"/>
        <v>0</v>
      </c>
      <c r="Z38" s="37">
        <f t="shared" si="5"/>
        <v>0</v>
      </c>
      <c r="AA38" s="37">
        <f t="shared" si="6"/>
        <v>0</v>
      </c>
      <c r="AB38" s="37">
        <f t="shared" si="7"/>
        <v>0</v>
      </c>
      <c r="AC38" s="28">
        <f t="shared" si="8"/>
        <v>0</v>
      </c>
      <c r="AD38" s="28">
        <f t="shared" si="13"/>
        <v>12</v>
      </c>
      <c r="AE38" s="29" t="str">
        <f t="shared" si="9"/>
        <v>F</v>
      </c>
      <c r="AF38" s="29">
        <f t="shared" si="14"/>
        <v>0</v>
      </c>
      <c r="AG38" s="104" t="s">
        <v>35</v>
      </c>
      <c r="AH38" s="105"/>
      <c r="AI38" s="104"/>
      <c r="AJ38" s="105"/>
      <c r="AK38" s="30" t="str">
        <f t="shared" si="10"/>
        <v>차시예정</v>
      </c>
      <c r="AL38" s="30" t="str">
        <f t="shared" si="11"/>
        <v>-</v>
      </c>
      <c r="AM38" s="30" t="str">
        <f t="shared" si="16"/>
        <v>차시예정</v>
      </c>
      <c r="AN38" s="38"/>
      <c r="AO38" s="38"/>
      <c r="AP38" s="38"/>
      <c r="AQ38" s="29">
        <f t="shared" si="12"/>
        <v>2</v>
      </c>
      <c r="AR38" s="45"/>
      <c r="AS38" s="46"/>
    </row>
    <row r="39" spans="1:46" ht="24.95" customHeight="1" x14ac:dyDescent="0.3">
      <c r="A39" s="119"/>
      <c r="B39" s="21"/>
      <c r="C39" s="41" t="s">
        <v>97</v>
      </c>
      <c r="D39" s="41">
        <v>1</v>
      </c>
      <c r="E39" s="41">
        <v>1</v>
      </c>
      <c r="F39" s="41">
        <v>1</v>
      </c>
      <c r="G39" s="41">
        <v>1</v>
      </c>
      <c r="H39" s="41">
        <v>0</v>
      </c>
      <c r="I39" s="41">
        <v>0</v>
      </c>
      <c r="J39" s="24">
        <f t="shared" si="0"/>
        <v>4</v>
      </c>
      <c r="K39" s="41">
        <v>1</v>
      </c>
      <c r="L39" s="41">
        <v>1</v>
      </c>
      <c r="M39" s="41">
        <v>0</v>
      </c>
      <c r="N39" s="41">
        <v>1</v>
      </c>
      <c r="O39" s="41">
        <v>1</v>
      </c>
      <c r="P39" s="41">
        <v>0</v>
      </c>
      <c r="Q39" s="25">
        <f t="shared" si="1"/>
        <v>4</v>
      </c>
      <c r="R39" s="41">
        <v>0</v>
      </c>
      <c r="S39" s="41">
        <v>1</v>
      </c>
      <c r="T39" s="25">
        <f t="shared" si="17"/>
        <v>1</v>
      </c>
      <c r="U39" s="41">
        <v>0</v>
      </c>
      <c r="V39" s="41">
        <v>0</v>
      </c>
      <c r="W39" s="25">
        <f t="shared" si="3"/>
        <v>0</v>
      </c>
      <c r="X39" s="36"/>
      <c r="Y39" s="37">
        <f t="shared" si="4"/>
        <v>0.66666666666666663</v>
      </c>
      <c r="Z39" s="37">
        <f t="shared" si="5"/>
        <v>0.66666666666666663</v>
      </c>
      <c r="AA39" s="37">
        <f t="shared" si="6"/>
        <v>0.5</v>
      </c>
      <c r="AB39" s="37">
        <f t="shared" si="7"/>
        <v>0</v>
      </c>
      <c r="AC39" s="28">
        <f t="shared" si="8"/>
        <v>9</v>
      </c>
      <c r="AD39" s="28">
        <f t="shared" si="13"/>
        <v>7</v>
      </c>
      <c r="AE39" s="29" t="str">
        <f t="shared" si="9"/>
        <v>F</v>
      </c>
      <c r="AF39" s="29">
        <f t="shared" si="14"/>
        <v>9</v>
      </c>
      <c r="AG39" s="104" t="s">
        <v>35</v>
      </c>
      <c r="AH39" s="105"/>
      <c r="AI39" s="104"/>
      <c r="AJ39" s="105"/>
      <c r="AK39" s="30" t="str">
        <f t="shared" si="10"/>
        <v>차시예정</v>
      </c>
      <c r="AL39" s="30" t="str">
        <f t="shared" si="11"/>
        <v>-</v>
      </c>
      <c r="AM39" s="30" t="str">
        <f t="shared" si="16"/>
        <v>차시예정</v>
      </c>
      <c r="AN39" s="30"/>
      <c r="AO39" s="30"/>
      <c r="AP39" s="30" t="s">
        <v>83</v>
      </c>
      <c r="AQ39" s="29">
        <f t="shared" si="12"/>
        <v>3</v>
      </c>
      <c r="AR39" s="45"/>
      <c r="AS39" s="46"/>
    </row>
    <row r="40" spans="1:46" ht="24.95" customHeight="1" x14ac:dyDescent="0.3">
      <c r="A40" s="119"/>
      <c r="B40" s="21"/>
      <c r="C40" s="41" t="s">
        <v>98</v>
      </c>
      <c r="D40" s="41"/>
      <c r="E40" s="41"/>
      <c r="F40" s="41"/>
      <c r="G40" s="41"/>
      <c r="H40" s="41"/>
      <c r="I40" s="41"/>
      <c r="J40" s="24">
        <f t="shared" si="0"/>
        <v>0</v>
      </c>
      <c r="K40" s="41"/>
      <c r="L40" s="41"/>
      <c r="M40" s="41"/>
      <c r="N40" s="41"/>
      <c r="O40" s="41"/>
      <c r="P40" s="41"/>
      <c r="Q40" s="25">
        <f t="shared" si="1"/>
        <v>0</v>
      </c>
      <c r="R40" s="41"/>
      <c r="S40" s="41"/>
      <c r="T40" s="25">
        <f t="shared" si="17"/>
        <v>0</v>
      </c>
      <c r="U40" s="41"/>
      <c r="V40" s="41"/>
      <c r="W40" s="25">
        <f t="shared" si="3"/>
        <v>0</v>
      </c>
      <c r="X40" s="36"/>
      <c r="Y40" s="37">
        <f t="shared" si="4"/>
        <v>0</v>
      </c>
      <c r="Z40" s="37">
        <f t="shared" si="5"/>
        <v>0</v>
      </c>
      <c r="AA40" s="37">
        <f t="shared" si="6"/>
        <v>0</v>
      </c>
      <c r="AB40" s="37">
        <f t="shared" si="7"/>
        <v>0</v>
      </c>
      <c r="AC40" s="28">
        <f t="shared" si="8"/>
        <v>0</v>
      </c>
      <c r="AD40" s="28">
        <f t="shared" si="13"/>
        <v>12</v>
      </c>
      <c r="AE40" s="29" t="str">
        <f t="shared" si="9"/>
        <v>F</v>
      </c>
      <c r="AF40" s="29">
        <f t="shared" si="14"/>
        <v>0</v>
      </c>
      <c r="AG40" s="104" t="s">
        <v>35</v>
      </c>
      <c r="AH40" s="105"/>
      <c r="AI40" s="104"/>
      <c r="AJ40" s="105"/>
      <c r="AK40" s="30" t="str">
        <f t="shared" si="10"/>
        <v>차시예정</v>
      </c>
      <c r="AL40" s="30" t="str">
        <f t="shared" si="11"/>
        <v>-</v>
      </c>
      <c r="AM40" s="30" t="str">
        <f t="shared" si="16"/>
        <v>차시예정</v>
      </c>
      <c r="AN40" s="38"/>
      <c r="AO40" s="38"/>
      <c r="AP40" s="38"/>
      <c r="AQ40" s="29">
        <f t="shared" si="12"/>
        <v>2</v>
      </c>
      <c r="AR40" s="45"/>
      <c r="AS40" s="46"/>
    </row>
    <row r="41" spans="1:46" s="20" customFormat="1" ht="24.95" customHeight="1" x14ac:dyDescent="0.3">
      <c r="A41" s="119"/>
      <c r="B41" s="21"/>
      <c r="C41" s="41" t="s">
        <v>99</v>
      </c>
      <c r="D41" s="41"/>
      <c r="E41" s="41"/>
      <c r="F41" s="41"/>
      <c r="G41" s="41"/>
      <c r="H41" s="41"/>
      <c r="I41" s="41"/>
      <c r="J41" s="24">
        <f t="shared" si="0"/>
        <v>0</v>
      </c>
      <c r="K41" s="41"/>
      <c r="L41" s="41"/>
      <c r="M41" s="41"/>
      <c r="N41" s="41"/>
      <c r="O41" s="41"/>
      <c r="P41" s="41"/>
      <c r="Q41" s="25">
        <f t="shared" si="1"/>
        <v>0</v>
      </c>
      <c r="R41" s="41"/>
      <c r="S41" s="41"/>
      <c r="T41" s="25">
        <f t="shared" si="17"/>
        <v>0</v>
      </c>
      <c r="U41" s="41"/>
      <c r="V41" s="41"/>
      <c r="W41" s="25">
        <f t="shared" si="3"/>
        <v>0</v>
      </c>
      <c r="X41" s="36"/>
      <c r="Y41" s="37">
        <f t="shared" si="4"/>
        <v>0</v>
      </c>
      <c r="Z41" s="37">
        <f t="shared" si="5"/>
        <v>0</v>
      </c>
      <c r="AA41" s="37">
        <f t="shared" si="6"/>
        <v>0</v>
      </c>
      <c r="AB41" s="37">
        <f t="shared" si="7"/>
        <v>0</v>
      </c>
      <c r="AC41" s="28">
        <f t="shared" si="8"/>
        <v>0</v>
      </c>
      <c r="AD41" s="28">
        <f t="shared" si="13"/>
        <v>12</v>
      </c>
      <c r="AE41" s="29" t="str">
        <f t="shared" si="9"/>
        <v>F</v>
      </c>
      <c r="AF41" s="29">
        <f t="shared" si="14"/>
        <v>0</v>
      </c>
      <c r="AG41" s="104" t="s">
        <v>35</v>
      </c>
      <c r="AH41" s="105"/>
      <c r="AI41" s="104"/>
      <c r="AJ41" s="105"/>
      <c r="AK41" s="30" t="str">
        <f t="shared" si="10"/>
        <v>차시예정</v>
      </c>
      <c r="AL41" s="30" t="str">
        <f t="shared" si="11"/>
        <v>-</v>
      </c>
      <c r="AM41" s="30" t="str">
        <f t="shared" si="16"/>
        <v>차시예정</v>
      </c>
      <c r="AN41" s="38"/>
      <c r="AO41" s="38"/>
      <c r="AP41" s="38"/>
      <c r="AQ41" s="29">
        <f t="shared" si="12"/>
        <v>2</v>
      </c>
      <c r="AR41" s="45"/>
      <c r="AS41" s="46"/>
      <c r="AT41" s="47"/>
    </row>
    <row r="42" spans="1:46" s="20" customFormat="1" ht="24.95" customHeight="1" x14ac:dyDescent="0.3">
      <c r="A42" s="119"/>
      <c r="B42" s="21"/>
      <c r="C42" s="41" t="s">
        <v>100</v>
      </c>
      <c r="D42" s="41"/>
      <c r="E42" s="41"/>
      <c r="F42" s="41"/>
      <c r="G42" s="41"/>
      <c r="H42" s="41"/>
      <c r="I42" s="41"/>
      <c r="J42" s="24">
        <f t="shared" si="0"/>
        <v>0</v>
      </c>
      <c r="K42" s="41"/>
      <c r="L42" s="41"/>
      <c r="M42" s="41"/>
      <c r="N42" s="41"/>
      <c r="O42" s="41"/>
      <c r="P42" s="41"/>
      <c r="Q42" s="25">
        <f t="shared" si="1"/>
        <v>0</v>
      </c>
      <c r="R42" s="41"/>
      <c r="S42" s="41"/>
      <c r="T42" s="25">
        <f t="shared" si="17"/>
        <v>0</v>
      </c>
      <c r="U42" s="41"/>
      <c r="V42" s="41"/>
      <c r="W42" s="25">
        <f t="shared" si="3"/>
        <v>0</v>
      </c>
      <c r="X42" s="36"/>
      <c r="Y42" s="37">
        <f t="shared" si="4"/>
        <v>0</v>
      </c>
      <c r="Z42" s="37">
        <f t="shared" si="5"/>
        <v>0</v>
      </c>
      <c r="AA42" s="37">
        <f t="shared" si="6"/>
        <v>0</v>
      </c>
      <c r="AB42" s="37">
        <f t="shared" si="7"/>
        <v>0</v>
      </c>
      <c r="AC42" s="28">
        <f t="shared" si="8"/>
        <v>0</v>
      </c>
      <c r="AD42" s="28">
        <f t="shared" si="13"/>
        <v>12</v>
      </c>
      <c r="AE42" s="29" t="str">
        <f t="shared" si="9"/>
        <v>F</v>
      </c>
      <c r="AF42" s="29">
        <f t="shared" si="14"/>
        <v>0</v>
      </c>
      <c r="AG42" s="104" t="s">
        <v>35</v>
      </c>
      <c r="AH42" s="105"/>
      <c r="AI42" s="104"/>
      <c r="AJ42" s="105"/>
      <c r="AK42" s="30" t="str">
        <f t="shared" si="10"/>
        <v>차시예정</v>
      </c>
      <c r="AL42" s="30" t="str">
        <f t="shared" si="11"/>
        <v>-</v>
      </c>
      <c r="AM42" s="30" t="str">
        <f t="shared" si="16"/>
        <v>차시예정</v>
      </c>
      <c r="AN42" s="38"/>
      <c r="AO42" s="38"/>
      <c r="AP42" s="38"/>
      <c r="AQ42" s="29">
        <f>COUNTIF(AK42:AP42, "차시예정")+COUNTIF(AK42:AP42, "X")</f>
        <v>2</v>
      </c>
      <c r="AR42" s="45"/>
      <c r="AS42" s="46"/>
      <c r="AT42" s="47"/>
    </row>
    <row r="43" spans="1:46" s="20" customFormat="1" ht="24.95" customHeight="1" x14ac:dyDescent="0.3">
      <c r="A43" s="119"/>
      <c r="B43" s="21"/>
      <c r="C43" s="41" t="s">
        <v>101</v>
      </c>
      <c r="D43" s="41"/>
      <c r="E43" s="41"/>
      <c r="F43" s="41"/>
      <c r="G43" s="41"/>
      <c r="H43" s="41"/>
      <c r="I43" s="41"/>
      <c r="J43" s="24">
        <f t="shared" si="0"/>
        <v>0</v>
      </c>
      <c r="K43" s="41"/>
      <c r="L43" s="41"/>
      <c r="M43" s="41"/>
      <c r="N43" s="41"/>
      <c r="O43" s="41"/>
      <c r="P43" s="41"/>
      <c r="Q43" s="25">
        <f t="shared" si="1"/>
        <v>0</v>
      </c>
      <c r="R43" s="41"/>
      <c r="S43" s="41"/>
      <c r="T43" s="25">
        <f t="shared" si="17"/>
        <v>0</v>
      </c>
      <c r="U43" s="41"/>
      <c r="V43" s="41"/>
      <c r="W43" s="25">
        <f t="shared" si="3"/>
        <v>0</v>
      </c>
      <c r="X43" s="36"/>
      <c r="Y43" s="37">
        <f t="shared" si="4"/>
        <v>0</v>
      </c>
      <c r="Z43" s="37">
        <f t="shared" si="5"/>
        <v>0</v>
      </c>
      <c r="AA43" s="37">
        <f t="shared" si="6"/>
        <v>0</v>
      </c>
      <c r="AB43" s="37">
        <f t="shared" si="7"/>
        <v>0</v>
      </c>
      <c r="AC43" s="28">
        <f t="shared" si="8"/>
        <v>0</v>
      </c>
      <c r="AD43" s="28">
        <f t="shared" si="13"/>
        <v>12</v>
      </c>
      <c r="AE43" s="29" t="str">
        <f t="shared" si="9"/>
        <v>F</v>
      </c>
      <c r="AF43" s="29">
        <f t="shared" si="14"/>
        <v>0</v>
      </c>
      <c r="AG43" s="104" t="s">
        <v>35</v>
      </c>
      <c r="AH43" s="105"/>
      <c r="AI43" s="104"/>
      <c r="AJ43" s="105"/>
      <c r="AK43" s="30" t="str">
        <f t="shared" si="10"/>
        <v>차시예정</v>
      </c>
      <c r="AL43" s="30" t="str">
        <f t="shared" si="11"/>
        <v>-</v>
      </c>
      <c r="AM43" s="30" t="str">
        <f t="shared" si="16"/>
        <v>차시예정</v>
      </c>
      <c r="AN43" s="38"/>
      <c r="AO43" s="38"/>
      <c r="AP43" s="38"/>
      <c r="AQ43" s="29">
        <f t="shared" si="12"/>
        <v>2</v>
      </c>
      <c r="AR43" s="45"/>
      <c r="AS43" s="46"/>
    </row>
    <row r="44" spans="1:46" s="20" customFormat="1" ht="24.95" customHeight="1" x14ac:dyDescent="0.3">
      <c r="A44" s="119"/>
      <c r="B44" s="21"/>
      <c r="C44" s="41" t="s">
        <v>102</v>
      </c>
      <c r="D44" s="41">
        <v>1</v>
      </c>
      <c r="E44" s="41">
        <v>0</v>
      </c>
      <c r="F44" s="41">
        <v>0</v>
      </c>
      <c r="G44" s="41">
        <v>1</v>
      </c>
      <c r="H44" s="41">
        <v>1</v>
      </c>
      <c r="I44" s="41">
        <v>0</v>
      </c>
      <c r="J44" s="24">
        <f t="shared" si="0"/>
        <v>3</v>
      </c>
      <c r="K44" s="41">
        <v>1</v>
      </c>
      <c r="L44" s="41">
        <v>0</v>
      </c>
      <c r="M44" s="41">
        <v>1</v>
      </c>
      <c r="N44" s="41">
        <v>0</v>
      </c>
      <c r="O44" s="41">
        <v>0</v>
      </c>
      <c r="P44" s="41">
        <v>1</v>
      </c>
      <c r="Q44" s="25">
        <f t="shared" si="1"/>
        <v>3</v>
      </c>
      <c r="R44" s="41">
        <v>1</v>
      </c>
      <c r="S44" s="41">
        <v>0</v>
      </c>
      <c r="T44" s="25">
        <f t="shared" si="17"/>
        <v>1</v>
      </c>
      <c r="U44" s="41">
        <v>0</v>
      </c>
      <c r="V44" s="41">
        <v>0</v>
      </c>
      <c r="W44" s="25">
        <f t="shared" si="3"/>
        <v>0</v>
      </c>
      <c r="X44" s="36"/>
      <c r="Y44" s="37">
        <f t="shared" si="4"/>
        <v>0.5</v>
      </c>
      <c r="Z44" s="37">
        <f t="shared" si="5"/>
        <v>0.5</v>
      </c>
      <c r="AA44" s="37">
        <f t="shared" si="6"/>
        <v>0.5</v>
      </c>
      <c r="AB44" s="37">
        <f t="shared" si="7"/>
        <v>0</v>
      </c>
      <c r="AC44" s="28">
        <f t="shared" si="8"/>
        <v>7</v>
      </c>
      <c r="AD44" s="28">
        <f t="shared" si="13"/>
        <v>10</v>
      </c>
      <c r="AE44" s="29" t="str">
        <f t="shared" si="9"/>
        <v>F</v>
      </c>
      <c r="AF44" s="29">
        <f t="shared" si="14"/>
        <v>7</v>
      </c>
      <c r="AG44" s="104" t="s">
        <v>35</v>
      </c>
      <c r="AH44" s="105"/>
      <c r="AI44" s="104"/>
      <c r="AJ44" s="105"/>
      <c r="AK44" s="30" t="str">
        <f t="shared" si="10"/>
        <v>차시예정</v>
      </c>
      <c r="AL44" s="30" t="str">
        <f t="shared" si="11"/>
        <v>-</v>
      </c>
      <c r="AM44" s="30" t="str">
        <f t="shared" si="16"/>
        <v>차시예정</v>
      </c>
      <c r="AN44" s="38"/>
      <c r="AO44" s="38"/>
      <c r="AP44" s="38" t="s">
        <v>103</v>
      </c>
      <c r="AQ44" s="29">
        <f t="shared" si="12"/>
        <v>2</v>
      </c>
      <c r="AR44" s="45"/>
      <c r="AS44" s="46"/>
    </row>
    <row r="45" spans="1:46" s="20" customFormat="1" ht="24.95" customHeight="1" x14ac:dyDescent="0.3">
      <c r="A45" s="119"/>
      <c r="B45" s="21"/>
      <c r="C45" s="41" t="s">
        <v>104</v>
      </c>
      <c r="D45" s="41"/>
      <c r="E45" s="41"/>
      <c r="F45" s="41"/>
      <c r="G45" s="41"/>
      <c r="H45" s="41"/>
      <c r="I45" s="41"/>
      <c r="J45" s="24">
        <f t="shared" si="0"/>
        <v>0</v>
      </c>
      <c r="K45" s="41"/>
      <c r="L45" s="41"/>
      <c r="M45" s="41"/>
      <c r="N45" s="41"/>
      <c r="O45" s="41"/>
      <c r="P45" s="41"/>
      <c r="Q45" s="25">
        <f t="shared" si="1"/>
        <v>0</v>
      </c>
      <c r="R45" s="41"/>
      <c r="S45" s="41"/>
      <c r="T45" s="25">
        <f t="shared" si="17"/>
        <v>0</v>
      </c>
      <c r="U45" s="41"/>
      <c r="V45" s="41"/>
      <c r="W45" s="25">
        <f t="shared" si="3"/>
        <v>0</v>
      </c>
      <c r="X45" s="36"/>
      <c r="Y45" s="37">
        <f t="shared" si="4"/>
        <v>0</v>
      </c>
      <c r="Z45" s="37">
        <f t="shared" si="5"/>
        <v>0</v>
      </c>
      <c r="AA45" s="37">
        <f t="shared" si="6"/>
        <v>0</v>
      </c>
      <c r="AB45" s="37">
        <f t="shared" si="7"/>
        <v>0</v>
      </c>
      <c r="AC45" s="28">
        <f t="shared" si="8"/>
        <v>0</v>
      </c>
      <c r="AD45" s="28">
        <f t="shared" si="13"/>
        <v>12</v>
      </c>
      <c r="AE45" s="29" t="str">
        <f t="shared" si="9"/>
        <v>F</v>
      </c>
      <c r="AF45" s="29">
        <f t="shared" si="14"/>
        <v>0</v>
      </c>
      <c r="AG45" s="104" t="s">
        <v>35</v>
      </c>
      <c r="AH45" s="105"/>
      <c r="AI45" s="104"/>
      <c r="AJ45" s="105"/>
      <c r="AK45" s="30" t="str">
        <f t="shared" si="10"/>
        <v>차시예정</v>
      </c>
      <c r="AL45" s="30" t="str">
        <f t="shared" si="11"/>
        <v>-</v>
      </c>
      <c r="AM45" s="30" t="str">
        <f t="shared" si="16"/>
        <v>차시예정</v>
      </c>
      <c r="AN45" s="38"/>
      <c r="AO45" s="38"/>
      <c r="AP45" s="38"/>
      <c r="AQ45" s="29">
        <f t="shared" si="12"/>
        <v>2</v>
      </c>
      <c r="AR45" s="45"/>
      <c r="AS45" s="46"/>
    </row>
    <row r="46" spans="1:46" s="20" customFormat="1" ht="24.95" customHeight="1" x14ac:dyDescent="0.3">
      <c r="A46" s="119"/>
      <c r="B46" s="21"/>
      <c r="C46" s="41" t="s">
        <v>105</v>
      </c>
      <c r="D46" s="41"/>
      <c r="E46" s="41"/>
      <c r="F46" s="41"/>
      <c r="G46" s="41"/>
      <c r="H46" s="41"/>
      <c r="I46" s="41"/>
      <c r="J46" s="24">
        <f t="shared" si="0"/>
        <v>0</v>
      </c>
      <c r="K46" s="41"/>
      <c r="L46" s="41"/>
      <c r="M46" s="41"/>
      <c r="N46" s="41"/>
      <c r="O46" s="41"/>
      <c r="P46" s="41"/>
      <c r="Q46" s="25">
        <f t="shared" si="1"/>
        <v>0</v>
      </c>
      <c r="R46" s="41"/>
      <c r="S46" s="41"/>
      <c r="T46" s="25">
        <f t="shared" si="17"/>
        <v>0</v>
      </c>
      <c r="U46" s="41"/>
      <c r="V46" s="41"/>
      <c r="W46" s="25">
        <f t="shared" si="3"/>
        <v>0</v>
      </c>
      <c r="X46" s="36"/>
      <c r="Y46" s="37">
        <f t="shared" si="4"/>
        <v>0</v>
      </c>
      <c r="Z46" s="37">
        <f t="shared" si="5"/>
        <v>0</v>
      </c>
      <c r="AA46" s="37">
        <f t="shared" si="6"/>
        <v>0</v>
      </c>
      <c r="AB46" s="37">
        <f t="shared" si="7"/>
        <v>0</v>
      </c>
      <c r="AC46" s="28">
        <f t="shared" si="8"/>
        <v>0</v>
      </c>
      <c r="AD46" s="28">
        <f t="shared" si="13"/>
        <v>12</v>
      </c>
      <c r="AE46" s="29" t="str">
        <f t="shared" si="9"/>
        <v>F</v>
      </c>
      <c r="AF46" s="29">
        <f t="shared" si="14"/>
        <v>0</v>
      </c>
      <c r="AG46" s="104" t="s">
        <v>35</v>
      </c>
      <c r="AH46" s="105"/>
      <c r="AI46" s="104"/>
      <c r="AJ46" s="105"/>
      <c r="AK46" s="30" t="str">
        <f t="shared" si="10"/>
        <v>차시예정</v>
      </c>
      <c r="AL46" s="30" t="str">
        <f t="shared" si="11"/>
        <v>-</v>
      </c>
      <c r="AM46" s="30" t="str">
        <f t="shared" si="16"/>
        <v>차시예정</v>
      </c>
      <c r="AN46" s="38"/>
      <c r="AO46" s="38"/>
      <c r="AP46" s="38"/>
      <c r="AQ46" s="29">
        <f t="shared" si="12"/>
        <v>2</v>
      </c>
      <c r="AR46" s="45"/>
      <c r="AS46" s="46"/>
    </row>
    <row r="47" spans="1:46" s="20" customFormat="1" ht="24.95" customHeight="1" x14ac:dyDescent="0.3">
      <c r="A47" s="119"/>
      <c r="B47" s="21"/>
      <c r="C47" s="41" t="s">
        <v>106</v>
      </c>
      <c r="D47" s="41"/>
      <c r="E47" s="41"/>
      <c r="F47" s="41"/>
      <c r="G47" s="41"/>
      <c r="H47" s="41"/>
      <c r="I47" s="41"/>
      <c r="J47" s="24">
        <f t="shared" si="0"/>
        <v>0</v>
      </c>
      <c r="K47" s="41"/>
      <c r="L47" s="41"/>
      <c r="M47" s="41"/>
      <c r="N47" s="41"/>
      <c r="O47" s="41"/>
      <c r="P47" s="41"/>
      <c r="Q47" s="25">
        <f t="shared" si="1"/>
        <v>0</v>
      </c>
      <c r="R47" s="41"/>
      <c r="S47" s="41"/>
      <c r="T47" s="25">
        <f t="shared" si="17"/>
        <v>0</v>
      </c>
      <c r="U47" s="41"/>
      <c r="V47" s="41"/>
      <c r="W47" s="25">
        <f t="shared" si="3"/>
        <v>0</v>
      </c>
      <c r="X47" s="36"/>
      <c r="Y47" s="37">
        <f t="shared" si="4"/>
        <v>0</v>
      </c>
      <c r="Z47" s="37">
        <f t="shared" si="5"/>
        <v>0</v>
      </c>
      <c r="AA47" s="37">
        <f t="shared" si="6"/>
        <v>0</v>
      </c>
      <c r="AB47" s="37">
        <f t="shared" si="7"/>
        <v>0</v>
      </c>
      <c r="AC47" s="28">
        <f t="shared" si="8"/>
        <v>0</v>
      </c>
      <c r="AD47" s="28">
        <f t="shared" si="13"/>
        <v>12</v>
      </c>
      <c r="AE47" s="29" t="str">
        <f t="shared" si="9"/>
        <v>F</v>
      </c>
      <c r="AF47" s="29">
        <f t="shared" si="14"/>
        <v>0</v>
      </c>
      <c r="AG47" s="104" t="s">
        <v>35</v>
      </c>
      <c r="AH47" s="105"/>
      <c r="AI47" s="104"/>
      <c r="AJ47" s="105"/>
      <c r="AK47" s="30" t="str">
        <f t="shared" si="10"/>
        <v>차시예정</v>
      </c>
      <c r="AL47" s="30" t="str">
        <f t="shared" si="11"/>
        <v>-</v>
      </c>
      <c r="AM47" s="30" t="str">
        <f t="shared" si="16"/>
        <v>차시예정</v>
      </c>
      <c r="AN47" s="38"/>
      <c r="AO47" s="38"/>
      <c r="AP47" s="38"/>
      <c r="AQ47" s="29">
        <f t="shared" si="12"/>
        <v>2</v>
      </c>
      <c r="AR47" s="45"/>
      <c r="AS47" s="46"/>
    </row>
    <row r="48" spans="1:46" s="20" customFormat="1" ht="24.95" customHeight="1" x14ac:dyDescent="0.3">
      <c r="A48" s="119"/>
      <c r="B48" s="21"/>
      <c r="C48" s="41" t="s">
        <v>107</v>
      </c>
      <c r="D48" s="41"/>
      <c r="E48" s="41"/>
      <c r="F48" s="41"/>
      <c r="G48" s="41"/>
      <c r="H48" s="41"/>
      <c r="I48" s="41"/>
      <c r="J48" s="24">
        <f t="shared" si="0"/>
        <v>0</v>
      </c>
      <c r="K48" s="41"/>
      <c r="L48" s="41"/>
      <c r="M48" s="41"/>
      <c r="N48" s="41"/>
      <c r="O48" s="41"/>
      <c r="P48" s="41"/>
      <c r="Q48" s="25">
        <f t="shared" si="1"/>
        <v>0</v>
      </c>
      <c r="R48" s="41"/>
      <c r="S48" s="41"/>
      <c r="T48" s="25">
        <f t="shared" si="17"/>
        <v>0</v>
      </c>
      <c r="U48" s="41"/>
      <c r="V48" s="41"/>
      <c r="W48" s="25">
        <f t="shared" si="3"/>
        <v>0</v>
      </c>
      <c r="X48" s="36"/>
      <c r="Y48" s="37">
        <f t="shared" si="4"/>
        <v>0</v>
      </c>
      <c r="Z48" s="37">
        <f t="shared" si="5"/>
        <v>0</v>
      </c>
      <c r="AA48" s="37">
        <f t="shared" si="6"/>
        <v>0</v>
      </c>
      <c r="AB48" s="37">
        <f t="shared" si="7"/>
        <v>0</v>
      </c>
      <c r="AC48" s="28">
        <f t="shared" si="8"/>
        <v>0</v>
      </c>
      <c r="AD48" s="28"/>
      <c r="AE48" s="29" t="str">
        <f t="shared" si="9"/>
        <v>F</v>
      </c>
      <c r="AF48" s="29">
        <f t="shared" si="14"/>
        <v>0</v>
      </c>
      <c r="AG48" s="104" t="s">
        <v>80</v>
      </c>
      <c r="AH48" s="105"/>
      <c r="AI48" s="104"/>
      <c r="AJ48" s="105"/>
      <c r="AK48" s="30" t="str">
        <f t="shared" si="10"/>
        <v>차시예정</v>
      </c>
      <c r="AL48" s="30" t="str">
        <f t="shared" si="11"/>
        <v>-</v>
      </c>
      <c r="AM48" s="30" t="str">
        <f t="shared" si="16"/>
        <v>차시예정</v>
      </c>
      <c r="AN48" s="38"/>
      <c r="AO48" s="38"/>
      <c r="AP48" s="38"/>
      <c r="AQ48" s="29">
        <f t="shared" si="12"/>
        <v>2</v>
      </c>
      <c r="AR48" s="45"/>
      <c r="AS48" s="46"/>
    </row>
    <row r="49" spans="1:47" s="20" customFormat="1" ht="24.95" customHeight="1" x14ac:dyDescent="0.3">
      <c r="A49" s="119"/>
      <c r="B49" s="21"/>
      <c r="C49" s="41" t="s">
        <v>108</v>
      </c>
      <c r="D49" s="41"/>
      <c r="E49" s="41"/>
      <c r="F49" s="41"/>
      <c r="G49" s="41"/>
      <c r="H49" s="41"/>
      <c r="I49" s="41"/>
      <c r="J49" s="24">
        <f t="shared" si="0"/>
        <v>0</v>
      </c>
      <c r="K49" s="41"/>
      <c r="L49" s="41"/>
      <c r="M49" s="41"/>
      <c r="N49" s="41"/>
      <c r="O49" s="41"/>
      <c r="P49" s="41"/>
      <c r="Q49" s="25">
        <f t="shared" si="1"/>
        <v>0</v>
      </c>
      <c r="R49" s="41"/>
      <c r="S49" s="41"/>
      <c r="T49" s="25">
        <f t="shared" si="17"/>
        <v>0</v>
      </c>
      <c r="U49" s="41"/>
      <c r="V49" s="41"/>
      <c r="W49" s="25">
        <f t="shared" si="3"/>
        <v>0</v>
      </c>
      <c r="X49" s="36"/>
      <c r="Y49" s="37">
        <f t="shared" si="4"/>
        <v>0</v>
      </c>
      <c r="Z49" s="37">
        <f t="shared" si="5"/>
        <v>0</v>
      </c>
      <c r="AA49" s="37">
        <f t="shared" si="6"/>
        <v>0</v>
      </c>
      <c r="AB49" s="37">
        <f t="shared" si="7"/>
        <v>0</v>
      </c>
      <c r="AC49" s="28">
        <f t="shared" si="8"/>
        <v>0</v>
      </c>
      <c r="AD49" s="28">
        <f t="shared" ref="AD49:AD81" si="18">RANK(AC49, $AC$4:$AC$80,0)</f>
        <v>12</v>
      </c>
      <c r="AE49" s="29" t="str">
        <f t="shared" si="9"/>
        <v>F</v>
      </c>
      <c r="AF49" s="29">
        <f t="shared" si="14"/>
        <v>0</v>
      </c>
      <c r="AG49" s="104" t="s">
        <v>35</v>
      </c>
      <c r="AH49" s="105"/>
      <c r="AI49" s="104"/>
      <c r="AJ49" s="105"/>
      <c r="AK49" s="30" t="str">
        <f t="shared" si="10"/>
        <v>차시예정</v>
      </c>
      <c r="AL49" s="30" t="str">
        <f t="shared" si="11"/>
        <v>-</v>
      </c>
      <c r="AM49" s="30" t="str">
        <f t="shared" si="16"/>
        <v>차시예정</v>
      </c>
      <c r="AN49" s="38"/>
      <c r="AO49" s="38"/>
      <c r="AP49" s="38"/>
      <c r="AQ49" s="29">
        <f t="shared" si="12"/>
        <v>2</v>
      </c>
      <c r="AR49" s="45"/>
      <c r="AS49" s="46"/>
      <c r="AT49" s="47"/>
      <c r="AU49" s="47"/>
    </row>
    <row r="50" spans="1:47" s="20" customFormat="1" ht="24.95" customHeight="1" x14ac:dyDescent="0.3">
      <c r="A50" s="119"/>
      <c r="B50" s="21"/>
      <c r="C50" s="41" t="s">
        <v>109</v>
      </c>
      <c r="D50" s="41"/>
      <c r="E50" s="41"/>
      <c r="F50" s="41"/>
      <c r="G50" s="41"/>
      <c r="H50" s="41"/>
      <c r="I50" s="41"/>
      <c r="J50" s="24">
        <f t="shared" si="0"/>
        <v>0</v>
      </c>
      <c r="K50" s="41"/>
      <c r="L50" s="41"/>
      <c r="M50" s="41"/>
      <c r="N50" s="41"/>
      <c r="O50" s="41"/>
      <c r="P50" s="41"/>
      <c r="Q50" s="25">
        <f t="shared" si="1"/>
        <v>0</v>
      </c>
      <c r="R50" s="41"/>
      <c r="S50" s="41"/>
      <c r="T50" s="25">
        <f t="shared" si="17"/>
        <v>0</v>
      </c>
      <c r="U50" s="41"/>
      <c r="V50" s="41"/>
      <c r="W50" s="25">
        <f t="shared" si="3"/>
        <v>0</v>
      </c>
      <c r="X50" s="36"/>
      <c r="Y50" s="37">
        <f t="shared" si="4"/>
        <v>0</v>
      </c>
      <c r="Z50" s="37">
        <f t="shared" si="5"/>
        <v>0</v>
      </c>
      <c r="AA50" s="37">
        <f t="shared" si="6"/>
        <v>0</v>
      </c>
      <c r="AB50" s="37">
        <f t="shared" si="7"/>
        <v>0</v>
      </c>
      <c r="AC50" s="28">
        <f t="shared" si="8"/>
        <v>0</v>
      </c>
      <c r="AD50" s="28">
        <f t="shared" si="18"/>
        <v>12</v>
      </c>
      <c r="AE50" s="29" t="str">
        <f t="shared" si="9"/>
        <v>F</v>
      </c>
      <c r="AF50" s="29">
        <f t="shared" si="14"/>
        <v>0</v>
      </c>
      <c r="AG50" s="104" t="s">
        <v>35</v>
      </c>
      <c r="AH50" s="105"/>
      <c r="AI50" s="104"/>
      <c r="AJ50" s="105"/>
      <c r="AK50" s="30" t="str">
        <f t="shared" si="10"/>
        <v>차시예정</v>
      </c>
      <c r="AL50" s="30" t="str">
        <f t="shared" si="11"/>
        <v>-</v>
      </c>
      <c r="AM50" s="30" t="str">
        <f t="shared" si="16"/>
        <v>차시예정</v>
      </c>
      <c r="AN50" s="38"/>
      <c r="AO50" s="38"/>
      <c r="AP50" s="38"/>
      <c r="AQ50" s="29">
        <f t="shared" si="12"/>
        <v>2</v>
      </c>
      <c r="AR50" s="45"/>
      <c r="AS50" s="46"/>
    </row>
    <row r="51" spans="1:47" ht="24.95" customHeight="1" x14ac:dyDescent="0.3">
      <c r="A51" s="119"/>
      <c r="B51" s="21"/>
      <c r="C51" s="41" t="s">
        <v>110</v>
      </c>
      <c r="D51" s="41"/>
      <c r="E51" s="41"/>
      <c r="F51" s="41"/>
      <c r="G51" s="41"/>
      <c r="H51" s="41"/>
      <c r="I51" s="41"/>
      <c r="J51" s="24">
        <f t="shared" si="0"/>
        <v>0</v>
      </c>
      <c r="K51" s="41"/>
      <c r="L51" s="41"/>
      <c r="M51" s="41"/>
      <c r="N51" s="41"/>
      <c r="O51" s="41"/>
      <c r="P51" s="41"/>
      <c r="Q51" s="25">
        <f t="shared" si="1"/>
        <v>0</v>
      </c>
      <c r="R51" s="41"/>
      <c r="S51" s="41"/>
      <c r="T51" s="25">
        <f t="shared" si="17"/>
        <v>0</v>
      </c>
      <c r="U51" s="41"/>
      <c r="V51" s="41"/>
      <c r="W51" s="25">
        <f t="shared" si="3"/>
        <v>0</v>
      </c>
      <c r="X51" s="36"/>
      <c r="Y51" s="37">
        <f t="shared" si="4"/>
        <v>0</v>
      </c>
      <c r="Z51" s="37">
        <f t="shared" si="5"/>
        <v>0</v>
      </c>
      <c r="AA51" s="37">
        <f t="shared" si="6"/>
        <v>0</v>
      </c>
      <c r="AB51" s="37">
        <f t="shared" si="7"/>
        <v>0</v>
      </c>
      <c r="AC51" s="28">
        <f t="shared" si="8"/>
        <v>0</v>
      </c>
      <c r="AD51" s="28">
        <f t="shared" si="18"/>
        <v>12</v>
      </c>
      <c r="AE51" s="29" t="str">
        <f t="shared" si="9"/>
        <v>F</v>
      </c>
      <c r="AF51" s="29">
        <f t="shared" si="14"/>
        <v>0</v>
      </c>
      <c r="AG51" s="104" t="s">
        <v>35</v>
      </c>
      <c r="AH51" s="105"/>
      <c r="AI51" s="104"/>
      <c r="AJ51" s="105"/>
      <c r="AK51" s="30" t="str">
        <f t="shared" si="10"/>
        <v>차시예정</v>
      </c>
      <c r="AL51" s="30" t="str">
        <f t="shared" si="11"/>
        <v>-</v>
      </c>
      <c r="AM51" s="30" t="str">
        <f t="shared" si="16"/>
        <v>차시예정</v>
      </c>
      <c r="AN51" s="38"/>
      <c r="AO51" s="38"/>
      <c r="AP51" s="38"/>
      <c r="AQ51" s="29">
        <f t="shared" si="12"/>
        <v>2</v>
      </c>
      <c r="AR51" s="45"/>
      <c r="AS51" s="46"/>
    </row>
    <row r="52" spans="1:47" ht="24.95" customHeight="1" x14ac:dyDescent="0.3">
      <c r="A52" s="119"/>
      <c r="B52" s="21"/>
      <c r="C52" s="41" t="s">
        <v>111</v>
      </c>
      <c r="D52" s="41"/>
      <c r="E52" s="41"/>
      <c r="F52" s="41"/>
      <c r="G52" s="41"/>
      <c r="H52" s="41"/>
      <c r="I52" s="41"/>
      <c r="J52" s="24">
        <f>SUM(D52:I52)</f>
        <v>0</v>
      </c>
      <c r="K52" s="41"/>
      <c r="L52" s="41"/>
      <c r="M52" s="41"/>
      <c r="N52" s="41"/>
      <c r="O52" s="41"/>
      <c r="P52" s="41"/>
      <c r="Q52" s="25">
        <f t="shared" si="1"/>
        <v>0</v>
      </c>
      <c r="R52" s="41"/>
      <c r="S52" s="41"/>
      <c r="T52" s="25">
        <f t="shared" si="17"/>
        <v>0</v>
      </c>
      <c r="U52" s="41"/>
      <c r="V52" s="41"/>
      <c r="W52" s="25">
        <f t="shared" si="3"/>
        <v>0</v>
      </c>
      <c r="X52" s="36"/>
      <c r="Y52" s="37">
        <f t="shared" si="4"/>
        <v>0</v>
      </c>
      <c r="Z52" s="37">
        <f t="shared" si="5"/>
        <v>0</v>
      </c>
      <c r="AA52" s="37">
        <f t="shared" si="6"/>
        <v>0</v>
      </c>
      <c r="AB52" s="37">
        <f t="shared" si="7"/>
        <v>0</v>
      </c>
      <c r="AC52" s="28">
        <f t="shared" si="8"/>
        <v>0</v>
      </c>
      <c r="AD52" s="28">
        <f t="shared" si="18"/>
        <v>12</v>
      </c>
      <c r="AE52" s="29" t="str">
        <f t="shared" si="9"/>
        <v>F</v>
      </c>
      <c r="AF52" s="29">
        <f t="shared" si="14"/>
        <v>0</v>
      </c>
      <c r="AG52" s="104" t="s">
        <v>35</v>
      </c>
      <c r="AH52" s="105"/>
      <c r="AI52" s="104"/>
      <c r="AJ52" s="105"/>
      <c r="AK52" s="30" t="str">
        <f t="shared" si="10"/>
        <v>차시예정</v>
      </c>
      <c r="AL52" s="30" t="str">
        <f t="shared" si="11"/>
        <v>-</v>
      </c>
      <c r="AM52" s="30" t="str">
        <f t="shared" si="16"/>
        <v>차시예정</v>
      </c>
      <c r="AN52" s="38"/>
      <c r="AO52" s="38"/>
      <c r="AP52" s="38"/>
      <c r="AQ52" s="29">
        <f t="shared" si="12"/>
        <v>2</v>
      </c>
      <c r="AR52" s="45"/>
      <c r="AS52" s="46"/>
    </row>
    <row r="53" spans="1:47" ht="24.95" customHeight="1" x14ac:dyDescent="0.3">
      <c r="A53" s="119"/>
      <c r="B53" s="21"/>
      <c r="C53" s="41" t="s">
        <v>112</v>
      </c>
      <c r="D53" s="41"/>
      <c r="E53" s="41"/>
      <c r="F53" s="41"/>
      <c r="G53" s="41"/>
      <c r="H53" s="41"/>
      <c r="I53" s="41"/>
      <c r="J53" s="24">
        <f t="shared" ref="J53:J81" si="19">SUM(D53:I53)</f>
        <v>0</v>
      </c>
      <c r="K53" s="41"/>
      <c r="L53" s="41"/>
      <c r="M53" s="41"/>
      <c r="N53" s="41"/>
      <c r="O53" s="41"/>
      <c r="P53" s="41"/>
      <c r="Q53" s="25">
        <f t="shared" si="1"/>
        <v>0</v>
      </c>
      <c r="R53" s="41"/>
      <c r="S53" s="41"/>
      <c r="T53" s="25">
        <f t="shared" si="17"/>
        <v>0</v>
      </c>
      <c r="U53" s="41"/>
      <c r="V53" s="41"/>
      <c r="W53" s="25">
        <f t="shared" si="3"/>
        <v>0</v>
      </c>
      <c r="X53" s="36"/>
      <c r="Y53" s="37">
        <f t="shared" si="4"/>
        <v>0</v>
      </c>
      <c r="Z53" s="37">
        <f t="shared" si="5"/>
        <v>0</v>
      </c>
      <c r="AA53" s="37">
        <f t="shared" si="6"/>
        <v>0</v>
      </c>
      <c r="AB53" s="37">
        <f t="shared" si="7"/>
        <v>0</v>
      </c>
      <c r="AC53" s="28">
        <f t="shared" si="8"/>
        <v>0</v>
      </c>
      <c r="AD53" s="28">
        <f t="shared" si="18"/>
        <v>12</v>
      </c>
      <c r="AE53" s="29" t="str">
        <f t="shared" si="9"/>
        <v>F</v>
      </c>
      <c r="AF53" s="29">
        <f t="shared" si="14"/>
        <v>0</v>
      </c>
      <c r="AG53" s="104" t="s">
        <v>35</v>
      </c>
      <c r="AH53" s="105"/>
      <c r="AI53" s="104"/>
      <c r="AJ53" s="105"/>
      <c r="AK53" s="30" t="str">
        <f t="shared" si="10"/>
        <v>차시예정</v>
      </c>
      <c r="AL53" s="30" t="str">
        <f t="shared" si="11"/>
        <v>-</v>
      </c>
      <c r="AM53" s="30" t="str">
        <f t="shared" si="16"/>
        <v>차시예정</v>
      </c>
      <c r="AN53" s="38"/>
      <c r="AO53" s="38"/>
      <c r="AP53" s="38"/>
      <c r="AQ53" s="29">
        <f t="shared" si="12"/>
        <v>2</v>
      </c>
      <c r="AR53" s="45"/>
      <c r="AS53" s="46"/>
    </row>
    <row r="54" spans="1:47" ht="24.95" customHeight="1" x14ac:dyDescent="0.3">
      <c r="A54" s="119"/>
      <c r="B54" s="21"/>
      <c r="C54" s="41" t="s">
        <v>113</v>
      </c>
      <c r="D54" s="41"/>
      <c r="E54" s="41"/>
      <c r="F54" s="41"/>
      <c r="G54" s="41"/>
      <c r="H54" s="41"/>
      <c r="I54" s="41"/>
      <c r="J54" s="24">
        <f t="shared" si="19"/>
        <v>0</v>
      </c>
      <c r="K54" s="41"/>
      <c r="L54" s="41"/>
      <c r="M54" s="41"/>
      <c r="N54" s="41"/>
      <c r="O54" s="41"/>
      <c r="P54" s="41"/>
      <c r="Q54" s="25">
        <f t="shared" si="1"/>
        <v>0</v>
      </c>
      <c r="R54" s="41"/>
      <c r="S54" s="41"/>
      <c r="T54" s="25">
        <f t="shared" si="17"/>
        <v>0</v>
      </c>
      <c r="U54" s="41"/>
      <c r="V54" s="41"/>
      <c r="W54" s="25">
        <f t="shared" si="3"/>
        <v>0</v>
      </c>
      <c r="X54" s="36"/>
      <c r="Y54" s="37">
        <f t="shared" si="4"/>
        <v>0</v>
      </c>
      <c r="Z54" s="37">
        <f t="shared" si="5"/>
        <v>0</v>
      </c>
      <c r="AA54" s="37">
        <f t="shared" si="6"/>
        <v>0</v>
      </c>
      <c r="AB54" s="37">
        <f t="shared" si="7"/>
        <v>0</v>
      </c>
      <c r="AC54" s="28">
        <f t="shared" si="8"/>
        <v>0</v>
      </c>
      <c r="AD54" s="28">
        <f t="shared" si="18"/>
        <v>12</v>
      </c>
      <c r="AE54" s="29" t="str">
        <f t="shared" si="9"/>
        <v>F</v>
      </c>
      <c r="AF54" s="29">
        <f t="shared" si="14"/>
        <v>0</v>
      </c>
      <c r="AG54" s="104" t="s">
        <v>35</v>
      </c>
      <c r="AH54" s="105"/>
      <c r="AI54" s="104"/>
      <c r="AJ54" s="105"/>
      <c r="AK54" s="30" t="str">
        <f t="shared" si="10"/>
        <v>차시예정</v>
      </c>
      <c r="AL54" s="30" t="str">
        <f t="shared" si="11"/>
        <v>-</v>
      </c>
      <c r="AM54" s="30" t="str">
        <f t="shared" si="16"/>
        <v>차시예정</v>
      </c>
      <c r="AN54" s="38"/>
      <c r="AO54" s="38"/>
      <c r="AP54" s="38"/>
      <c r="AQ54" s="29">
        <f t="shared" si="12"/>
        <v>2</v>
      </c>
      <c r="AR54" s="45"/>
      <c r="AS54" s="46"/>
    </row>
    <row r="55" spans="1:47" ht="24.95" customHeight="1" x14ac:dyDescent="0.3">
      <c r="A55" s="119"/>
      <c r="B55" s="21"/>
      <c r="C55" s="41" t="s">
        <v>114</v>
      </c>
      <c r="D55" s="41"/>
      <c r="E55" s="41"/>
      <c r="F55" s="41"/>
      <c r="G55" s="41"/>
      <c r="H55" s="41"/>
      <c r="I55" s="41"/>
      <c r="J55" s="24">
        <f t="shared" si="19"/>
        <v>0</v>
      </c>
      <c r="K55" s="41"/>
      <c r="L55" s="41"/>
      <c r="M55" s="41"/>
      <c r="N55" s="41"/>
      <c r="O55" s="41"/>
      <c r="P55" s="41"/>
      <c r="Q55" s="25">
        <f t="shared" si="1"/>
        <v>0</v>
      </c>
      <c r="R55" s="41"/>
      <c r="S55" s="41"/>
      <c r="T55" s="25">
        <f t="shared" si="17"/>
        <v>0</v>
      </c>
      <c r="U55" s="41"/>
      <c r="V55" s="41"/>
      <c r="W55" s="25">
        <f t="shared" si="3"/>
        <v>0</v>
      </c>
      <c r="X55" s="36"/>
      <c r="Y55" s="37">
        <f t="shared" si="4"/>
        <v>0</v>
      </c>
      <c r="Z55" s="37">
        <f t="shared" si="5"/>
        <v>0</v>
      </c>
      <c r="AA55" s="37">
        <f t="shared" si="6"/>
        <v>0</v>
      </c>
      <c r="AB55" s="37">
        <f t="shared" si="7"/>
        <v>0</v>
      </c>
      <c r="AC55" s="28">
        <f t="shared" si="8"/>
        <v>0</v>
      </c>
      <c r="AD55" s="28">
        <f t="shared" si="18"/>
        <v>12</v>
      </c>
      <c r="AE55" s="29" t="str">
        <f t="shared" si="9"/>
        <v>F</v>
      </c>
      <c r="AF55" s="29">
        <f t="shared" si="14"/>
        <v>0</v>
      </c>
      <c r="AG55" s="104" t="s">
        <v>35</v>
      </c>
      <c r="AH55" s="105"/>
      <c r="AI55" s="104"/>
      <c r="AJ55" s="105"/>
      <c r="AK55" s="30" t="str">
        <f t="shared" si="10"/>
        <v>차시예정</v>
      </c>
      <c r="AL55" s="30" t="str">
        <f t="shared" si="11"/>
        <v>-</v>
      </c>
      <c r="AM55" s="30" t="str">
        <f t="shared" si="16"/>
        <v>차시예정</v>
      </c>
      <c r="AN55" s="38"/>
      <c r="AO55" s="38"/>
      <c r="AP55" s="38"/>
      <c r="AQ55" s="29">
        <f t="shared" si="12"/>
        <v>2</v>
      </c>
      <c r="AR55" s="45"/>
      <c r="AS55" s="46"/>
    </row>
    <row r="56" spans="1:47" ht="24.95" customHeight="1" x14ac:dyDescent="0.3">
      <c r="A56" s="119"/>
      <c r="B56" s="21"/>
      <c r="C56" s="41" t="s">
        <v>115</v>
      </c>
      <c r="D56" s="41"/>
      <c r="E56" s="41"/>
      <c r="F56" s="41"/>
      <c r="G56" s="41"/>
      <c r="H56" s="41"/>
      <c r="I56" s="41"/>
      <c r="J56" s="24">
        <f t="shared" si="19"/>
        <v>0</v>
      </c>
      <c r="K56" s="41"/>
      <c r="L56" s="41"/>
      <c r="M56" s="41"/>
      <c r="N56" s="41"/>
      <c r="O56" s="41"/>
      <c r="P56" s="41"/>
      <c r="Q56" s="25">
        <f t="shared" si="1"/>
        <v>0</v>
      </c>
      <c r="R56" s="41"/>
      <c r="S56" s="41"/>
      <c r="T56" s="25">
        <f t="shared" si="17"/>
        <v>0</v>
      </c>
      <c r="U56" s="41"/>
      <c r="V56" s="41"/>
      <c r="W56" s="25">
        <f t="shared" si="3"/>
        <v>0</v>
      </c>
      <c r="X56" s="36"/>
      <c r="Y56" s="37">
        <f t="shared" si="4"/>
        <v>0</v>
      </c>
      <c r="Z56" s="37">
        <f t="shared" si="5"/>
        <v>0</v>
      </c>
      <c r="AA56" s="37">
        <f t="shared" si="6"/>
        <v>0</v>
      </c>
      <c r="AB56" s="37">
        <f t="shared" si="7"/>
        <v>0</v>
      </c>
      <c r="AC56" s="28">
        <f t="shared" si="8"/>
        <v>0</v>
      </c>
      <c r="AD56" s="28">
        <f t="shared" si="18"/>
        <v>12</v>
      </c>
      <c r="AE56" s="29" t="str">
        <f t="shared" si="9"/>
        <v>F</v>
      </c>
      <c r="AF56" s="29">
        <f t="shared" si="14"/>
        <v>0</v>
      </c>
      <c r="AG56" s="104" t="s">
        <v>35</v>
      </c>
      <c r="AH56" s="105"/>
      <c r="AI56" s="104"/>
      <c r="AJ56" s="105"/>
      <c r="AK56" s="30" t="str">
        <f t="shared" si="10"/>
        <v>차시예정</v>
      </c>
      <c r="AL56" s="30" t="str">
        <f t="shared" si="11"/>
        <v>-</v>
      </c>
      <c r="AM56" s="30" t="str">
        <f t="shared" si="16"/>
        <v>차시예정</v>
      </c>
      <c r="AN56" s="38"/>
      <c r="AO56" s="38"/>
      <c r="AP56" s="38"/>
      <c r="AQ56" s="29">
        <f t="shared" si="12"/>
        <v>2</v>
      </c>
      <c r="AR56" s="45"/>
      <c r="AS56" s="46"/>
    </row>
    <row r="57" spans="1:47" ht="24.95" customHeight="1" x14ac:dyDescent="0.3">
      <c r="A57" s="119"/>
      <c r="B57" s="21"/>
      <c r="C57" s="41" t="s">
        <v>116</v>
      </c>
      <c r="D57" s="41"/>
      <c r="E57" s="41"/>
      <c r="F57" s="41"/>
      <c r="G57" s="41"/>
      <c r="H57" s="41"/>
      <c r="I57" s="41"/>
      <c r="J57" s="24">
        <f t="shared" si="19"/>
        <v>0</v>
      </c>
      <c r="K57" s="41"/>
      <c r="L57" s="41"/>
      <c r="M57" s="41"/>
      <c r="N57" s="41"/>
      <c r="O57" s="41"/>
      <c r="P57" s="41"/>
      <c r="Q57" s="25">
        <f t="shared" si="1"/>
        <v>0</v>
      </c>
      <c r="R57" s="41"/>
      <c r="S57" s="41"/>
      <c r="T57" s="25">
        <f t="shared" si="17"/>
        <v>0</v>
      </c>
      <c r="U57" s="41"/>
      <c r="V57" s="41"/>
      <c r="W57" s="25">
        <f t="shared" si="3"/>
        <v>0</v>
      </c>
      <c r="X57" s="36"/>
      <c r="Y57" s="37">
        <f t="shared" si="4"/>
        <v>0</v>
      </c>
      <c r="Z57" s="37">
        <f t="shared" si="5"/>
        <v>0</v>
      </c>
      <c r="AA57" s="37">
        <f t="shared" si="6"/>
        <v>0</v>
      </c>
      <c r="AB57" s="37">
        <f t="shared" si="7"/>
        <v>0</v>
      </c>
      <c r="AC57" s="28">
        <f t="shared" si="8"/>
        <v>0</v>
      </c>
      <c r="AD57" s="28">
        <f t="shared" si="18"/>
        <v>12</v>
      </c>
      <c r="AE57" s="29" t="str">
        <f t="shared" si="9"/>
        <v>F</v>
      </c>
      <c r="AF57" s="29">
        <f t="shared" si="14"/>
        <v>0</v>
      </c>
      <c r="AG57" s="104" t="s">
        <v>80</v>
      </c>
      <c r="AH57" s="105"/>
      <c r="AI57" s="104"/>
      <c r="AJ57" s="105"/>
      <c r="AK57" s="30" t="str">
        <f t="shared" si="10"/>
        <v>차시예정</v>
      </c>
      <c r="AL57" s="30" t="str">
        <f t="shared" si="11"/>
        <v>-</v>
      </c>
      <c r="AM57" s="30" t="str">
        <f t="shared" si="16"/>
        <v>차시예정</v>
      </c>
      <c r="AN57" s="38"/>
      <c r="AO57" s="38"/>
      <c r="AP57" s="38"/>
      <c r="AQ57" s="29">
        <f t="shared" si="12"/>
        <v>2</v>
      </c>
      <c r="AR57" s="45"/>
      <c r="AS57" s="46"/>
    </row>
    <row r="58" spans="1:47" ht="24.95" customHeight="1" x14ac:dyDescent="0.3">
      <c r="A58" s="119"/>
      <c r="B58" s="21"/>
      <c r="C58" s="41" t="s">
        <v>117</v>
      </c>
      <c r="D58" s="41"/>
      <c r="E58" s="41"/>
      <c r="F58" s="41"/>
      <c r="G58" s="41"/>
      <c r="H58" s="41"/>
      <c r="I58" s="41"/>
      <c r="J58" s="24">
        <f t="shared" si="19"/>
        <v>0</v>
      </c>
      <c r="K58" s="41"/>
      <c r="L58" s="41"/>
      <c r="M58" s="41"/>
      <c r="N58" s="41"/>
      <c r="O58" s="41"/>
      <c r="P58" s="41"/>
      <c r="Q58" s="25">
        <f t="shared" si="1"/>
        <v>0</v>
      </c>
      <c r="R58" s="41"/>
      <c r="S58" s="41"/>
      <c r="T58" s="25">
        <f t="shared" si="17"/>
        <v>0</v>
      </c>
      <c r="U58" s="41"/>
      <c r="V58" s="41"/>
      <c r="W58" s="25">
        <f t="shared" si="3"/>
        <v>0</v>
      </c>
      <c r="X58" s="36"/>
      <c r="Y58" s="37">
        <f t="shared" si="4"/>
        <v>0</v>
      </c>
      <c r="Z58" s="37">
        <f t="shared" si="5"/>
        <v>0</v>
      </c>
      <c r="AA58" s="37">
        <f t="shared" si="6"/>
        <v>0</v>
      </c>
      <c r="AB58" s="37">
        <f t="shared" si="7"/>
        <v>0</v>
      </c>
      <c r="AC58" s="28">
        <f t="shared" si="8"/>
        <v>0</v>
      </c>
      <c r="AD58" s="28">
        <f t="shared" si="18"/>
        <v>12</v>
      </c>
      <c r="AE58" s="29" t="str">
        <f t="shared" si="9"/>
        <v>F</v>
      </c>
      <c r="AF58" s="29">
        <f t="shared" si="14"/>
        <v>0</v>
      </c>
      <c r="AG58" s="104" t="s">
        <v>35</v>
      </c>
      <c r="AH58" s="105"/>
      <c r="AI58" s="104"/>
      <c r="AJ58" s="105"/>
      <c r="AK58" s="30" t="str">
        <f t="shared" si="10"/>
        <v>차시예정</v>
      </c>
      <c r="AL58" s="30" t="str">
        <f t="shared" si="11"/>
        <v>-</v>
      </c>
      <c r="AM58" s="30" t="str">
        <f t="shared" si="16"/>
        <v>차시예정</v>
      </c>
      <c r="AN58" s="38"/>
      <c r="AO58" s="38"/>
      <c r="AP58" s="38"/>
      <c r="AQ58" s="29">
        <f t="shared" si="12"/>
        <v>2</v>
      </c>
      <c r="AR58" s="45"/>
      <c r="AS58" s="46"/>
    </row>
    <row r="59" spans="1:47" ht="24.95" customHeight="1" x14ac:dyDescent="0.3">
      <c r="A59" s="119"/>
      <c r="B59" s="21"/>
      <c r="C59" s="41" t="s">
        <v>118</v>
      </c>
      <c r="D59" s="41"/>
      <c r="E59" s="41"/>
      <c r="F59" s="41"/>
      <c r="G59" s="41"/>
      <c r="H59" s="41"/>
      <c r="I59" s="41"/>
      <c r="J59" s="24">
        <f t="shared" si="19"/>
        <v>0</v>
      </c>
      <c r="K59" s="41"/>
      <c r="L59" s="41"/>
      <c r="M59" s="41"/>
      <c r="N59" s="41"/>
      <c r="O59" s="41"/>
      <c r="P59" s="41"/>
      <c r="Q59" s="25">
        <f t="shared" si="1"/>
        <v>0</v>
      </c>
      <c r="R59" s="41"/>
      <c r="S59" s="41"/>
      <c r="T59" s="25">
        <f t="shared" si="17"/>
        <v>0</v>
      </c>
      <c r="U59" s="41"/>
      <c r="V59" s="41"/>
      <c r="W59" s="25">
        <f t="shared" si="3"/>
        <v>0</v>
      </c>
      <c r="X59" s="36"/>
      <c r="Y59" s="37">
        <f t="shared" si="4"/>
        <v>0</v>
      </c>
      <c r="Z59" s="37">
        <f t="shared" si="5"/>
        <v>0</v>
      </c>
      <c r="AA59" s="37">
        <f t="shared" si="6"/>
        <v>0</v>
      </c>
      <c r="AB59" s="37">
        <f t="shared" si="7"/>
        <v>0</v>
      </c>
      <c r="AC59" s="28">
        <f t="shared" si="8"/>
        <v>0</v>
      </c>
      <c r="AD59" s="28">
        <f t="shared" si="18"/>
        <v>12</v>
      </c>
      <c r="AE59" s="29" t="str">
        <f t="shared" si="9"/>
        <v>F</v>
      </c>
      <c r="AF59" s="29">
        <f t="shared" si="14"/>
        <v>0</v>
      </c>
      <c r="AG59" s="104" t="s">
        <v>35</v>
      </c>
      <c r="AH59" s="105"/>
      <c r="AI59" s="104"/>
      <c r="AJ59" s="105"/>
      <c r="AK59" s="30" t="str">
        <f t="shared" si="10"/>
        <v>차시예정</v>
      </c>
      <c r="AL59" s="30" t="str">
        <f t="shared" si="11"/>
        <v>-</v>
      </c>
      <c r="AM59" s="30" t="str">
        <f t="shared" si="16"/>
        <v>차시예정</v>
      </c>
      <c r="AN59" s="38"/>
      <c r="AO59" s="38"/>
      <c r="AP59" s="38"/>
      <c r="AQ59" s="29">
        <f t="shared" si="12"/>
        <v>2</v>
      </c>
      <c r="AR59" s="45"/>
      <c r="AS59" s="46"/>
    </row>
    <row r="60" spans="1:47" ht="24.95" customHeight="1" x14ac:dyDescent="0.3">
      <c r="A60" s="119"/>
      <c r="B60" s="21"/>
      <c r="C60" s="41" t="s">
        <v>119</v>
      </c>
      <c r="D60" s="41"/>
      <c r="E60" s="41"/>
      <c r="F60" s="41"/>
      <c r="G60" s="41"/>
      <c r="H60" s="41"/>
      <c r="I60" s="41"/>
      <c r="J60" s="24">
        <f t="shared" si="19"/>
        <v>0</v>
      </c>
      <c r="K60" s="41"/>
      <c r="L60" s="41"/>
      <c r="M60" s="41"/>
      <c r="N60" s="41"/>
      <c r="O60" s="41"/>
      <c r="P60" s="41"/>
      <c r="Q60" s="25">
        <f t="shared" si="1"/>
        <v>0</v>
      </c>
      <c r="R60" s="41"/>
      <c r="S60" s="41"/>
      <c r="T60" s="25">
        <f t="shared" si="17"/>
        <v>0</v>
      </c>
      <c r="U60" s="41"/>
      <c r="V60" s="41"/>
      <c r="W60" s="25">
        <f t="shared" si="3"/>
        <v>0</v>
      </c>
      <c r="X60" s="36"/>
      <c r="Y60" s="37">
        <f t="shared" si="4"/>
        <v>0</v>
      </c>
      <c r="Z60" s="37">
        <f t="shared" si="5"/>
        <v>0</v>
      </c>
      <c r="AA60" s="37">
        <f t="shared" si="6"/>
        <v>0</v>
      </c>
      <c r="AB60" s="37">
        <f t="shared" si="7"/>
        <v>0</v>
      </c>
      <c r="AC60" s="28">
        <f t="shared" si="8"/>
        <v>0</v>
      </c>
      <c r="AD60" s="28">
        <f t="shared" si="18"/>
        <v>12</v>
      </c>
      <c r="AE60" s="29" t="str">
        <f t="shared" si="9"/>
        <v>F</v>
      </c>
      <c r="AF60" s="29">
        <f t="shared" si="14"/>
        <v>0</v>
      </c>
      <c r="AG60" s="104" t="s">
        <v>35</v>
      </c>
      <c r="AH60" s="105"/>
      <c r="AI60" s="104"/>
      <c r="AJ60" s="105"/>
      <c r="AK60" s="30" t="str">
        <f t="shared" si="10"/>
        <v>차시예정</v>
      </c>
      <c r="AL60" s="30" t="str">
        <f t="shared" si="11"/>
        <v>-</v>
      </c>
      <c r="AM60" s="30" t="str">
        <f t="shared" si="16"/>
        <v>차시예정</v>
      </c>
      <c r="AN60" s="38"/>
      <c r="AO60" s="38"/>
      <c r="AP60" s="38"/>
      <c r="AQ60" s="29">
        <f t="shared" si="12"/>
        <v>2</v>
      </c>
      <c r="AR60" s="45"/>
      <c r="AS60" s="46"/>
    </row>
    <row r="61" spans="1:47" ht="24.95" customHeight="1" x14ac:dyDescent="0.3">
      <c r="A61" s="119"/>
      <c r="B61" s="21"/>
      <c r="C61" s="41" t="s">
        <v>120</v>
      </c>
      <c r="D61" s="41">
        <v>1</v>
      </c>
      <c r="E61" s="41">
        <v>1</v>
      </c>
      <c r="F61" s="41">
        <v>1</v>
      </c>
      <c r="G61" s="41">
        <v>1</v>
      </c>
      <c r="H61" s="41">
        <v>1</v>
      </c>
      <c r="I61" s="41">
        <v>1</v>
      </c>
      <c r="J61" s="24">
        <f t="shared" si="19"/>
        <v>6</v>
      </c>
      <c r="K61" s="41">
        <v>1</v>
      </c>
      <c r="L61" s="41">
        <v>0</v>
      </c>
      <c r="M61" s="41">
        <v>0</v>
      </c>
      <c r="N61" s="41">
        <v>0</v>
      </c>
      <c r="O61" s="41">
        <v>1</v>
      </c>
      <c r="P61" s="41">
        <v>1</v>
      </c>
      <c r="Q61" s="25">
        <f t="shared" si="1"/>
        <v>3</v>
      </c>
      <c r="R61" s="41">
        <v>1</v>
      </c>
      <c r="S61" s="41">
        <v>0</v>
      </c>
      <c r="T61" s="25">
        <f t="shared" si="17"/>
        <v>1</v>
      </c>
      <c r="U61" s="41">
        <v>0</v>
      </c>
      <c r="V61" s="41">
        <v>1</v>
      </c>
      <c r="W61" s="25">
        <f t="shared" si="3"/>
        <v>1</v>
      </c>
      <c r="X61" s="36"/>
      <c r="Y61" s="37">
        <f t="shared" si="4"/>
        <v>1</v>
      </c>
      <c r="Z61" s="37">
        <f t="shared" si="5"/>
        <v>0.5</v>
      </c>
      <c r="AA61" s="37">
        <f t="shared" si="6"/>
        <v>0.5</v>
      </c>
      <c r="AB61" s="37">
        <f t="shared" si="7"/>
        <v>0.5</v>
      </c>
      <c r="AC61" s="28">
        <f t="shared" si="8"/>
        <v>11</v>
      </c>
      <c r="AD61" s="28">
        <f t="shared" si="18"/>
        <v>5</v>
      </c>
      <c r="AE61" s="29" t="str">
        <f t="shared" si="9"/>
        <v>F</v>
      </c>
      <c r="AF61" s="29">
        <f t="shared" si="14"/>
        <v>11</v>
      </c>
      <c r="AG61" s="104" t="s">
        <v>35</v>
      </c>
      <c r="AH61" s="105"/>
      <c r="AI61" s="104" t="s">
        <v>80</v>
      </c>
      <c r="AJ61" s="105"/>
      <c r="AK61" s="30" t="str">
        <f t="shared" si="10"/>
        <v>차시예정</v>
      </c>
      <c r="AL61" s="30" t="str">
        <f t="shared" si="11"/>
        <v>-</v>
      </c>
      <c r="AM61" s="30" t="str">
        <f t="shared" si="16"/>
        <v>-</v>
      </c>
      <c r="AN61" s="42"/>
      <c r="AO61" s="38"/>
      <c r="AP61" s="38" t="s">
        <v>83</v>
      </c>
      <c r="AQ61" s="29">
        <f t="shared" si="12"/>
        <v>2</v>
      </c>
      <c r="AR61" s="45"/>
      <c r="AS61" s="46"/>
    </row>
    <row r="62" spans="1:47" ht="24.95" customHeight="1" x14ac:dyDescent="0.3">
      <c r="A62" s="119"/>
      <c r="B62" s="21"/>
      <c r="C62" s="41" t="s">
        <v>121</v>
      </c>
      <c r="D62" s="41"/>
      <c r="E62" s="41"/>
      <c r="F62" s="41"/>
      <c r="G62" s="41"/>
      <c r="H62" s="41"/>
      <c r="I62" s="41"/>
      <c r="J62" s="24">
        <f t="shared" si="19"/>
        <v>0</v>
      </c>
      <c r="K62" s="41"/>
      <c r="L62" s="41"/>
      <c r="M62" s="41"/>
      <c r="N62" s="41"/>
      <c r="O62" s="41"/>
      <c r="P62" s="41"/>
      <c r="Q62" s="25">
        <f t="shared" si="1"/>
        <v>0</v>
      </c>
      <c r="R62" s="41"/>
      <c r="S62" s="41"/>
      <c r="T62" s="25">
        <f t="shared" si="17"/>
        <v>0</v>
      </c>
      <c r="U62" s="41"/>
      <c r="V62" s="41"/>
      <c r="W62" s="25">
        <f t="shared" si="3"/>
        <v>0</v>
      </c>
      <c r="X62" s="36"/>
      <c r="Y62" s="37">
        <f t="shared" si="4"/>
        <v>0</v>
      </c>
      <c r="Z62" s="37">
        <f t="shared" si="5"/>
        <v>0</v>
      </c>
      <c r="AA62" s="37">
        <f t="shared" si="6"/>
        <v>0</v>
      </c>
      <c r="AB62" s="37">
        <f t="shared" si="7"/>
        <v>0</v>
      </c>
      <c r="AC62" s="28">
        <f t="shared" si="8"/>
        <v>0</v>
      </c>
      <c r="AD62" s="28">
        <f t="shared" si="18"/>
        <v>12</v>
      </c>
      <c r="AE62" s="29" t="str">
        <f t="shared" si="9"/>
        <v>F</v>
      </c>
      <c r="AF62" s="29">
        <f t="shared" si="14"/>
        <v>0</v>
      </c>
      <c r="AG62" s="104" t="s">
        <v>35</v>
      </c>
      <c r="AH62" s="105"/>
      <c r="AI62" s="104"/>
      <c r="AJ62" s="105"/>
      <c r="AK62" s="30" t="str">
        <f t="shared" si="10"/>
        <v>차시예정</v>
      </c>
      <c r="AL62" s="30" t="str">
        <f t="shared" si="11"/>
        <v>-</v>
      </c>
      <c r="AM62" s="30" t="str">
        <f t="shared" si="16"/>
        <v>차시예정</v>
      </c>
      <c r="AN62" s="38"/>
      <c r="AO62" s="38"/>
      <c r="AP62" s="38"/>
      <c r="AQ62" s="29">
        <f t="shared" si="12"/>
        <v>2</v>
      </c>
      <c r="AR62" s="45"/>
      <c r="AS62" s="46"/>
    </row>
    <row r="63" spans="1:47" ht="24.95" customHeight="1" x14ac:dyDescent="0.3">
      <c r="A63" s="119"/>
      <c r="B63" s="21"/>
      <c r="C63" s="41" t="s">
        <v>122</v>
      </c>
      <c r="D63" s="41"/>
      <c r="E63" s="41"/>
      <c r="F63" s="41"/>
      <c r="G63" s="41"/>
      <c r="H63" s="41"/>
      <c r="I63" s="41"/>
      <c r="J63" s="24">
        <f t="shared" si="19"/>
        <v>0</v>
      </c>
      <c r="K63" s="41"/>
      <c r="L63" s="41"/>
      <c r="M63" s="41"/>
      <c r="N63" s="41"/>
      <c r="O63" s="41"/>
      <c r="P63" s="41"/>
      <c r="Q63" s="25">
        <f t="shared" si="1"/>
        <v>0</v>
      </c>
      <c r="R63" s="41"/>
      <c r="S63" s="41"/>
      <c r="T63" s="25">
        <f t="shared" si="17"/>
        <v>0</v>
      </c>
      <c r="U63" s="41"/>
      <c r="V63" s="41"/>
      <c r="W63" s="25">
        <f t="shared" si="3"/>
        <v>0</v>
      </c>
      <c r="X63" s="36"/>
      <c r="Y63" s="37">
        <f t="shared" si="4"/>
        <v>0</v>
      </c>
      <c r="Z63" s="37">
        <f t="shared" si="5"/>
        <v>0</v>
      </c>
      <c r="AA63" s="37">
        <f t="shared" si="6"/>
        <v>0</v>
      </c>
      <c r="AB63" s="37">
        <f t="shared" si="7"/>
        <v>0</v>
      </c>
      <c r="AC63" s="28">
        <f t="shared" si="8"/>
        <v>0</v>
      </c>
      <c r="AD63" s="28">
        <f t="shared" si="18"/>
        <v>12</v>
      </c>
      <c r="AE63" s="29" t="str">
        <f t="shared" si="9"/>
        <v>F</v>
      </c>
      <c r="AF63" s="29">
        <f t="shared" si="14"/>
        <v>0</v>
      </c>
      <c r="AG63" s="104" t="s">
        <v>80</v>
      </c>
      <c r="AH63" s="105"/>
      <c r="AI63" s="104"/>
      <c r="AJ63" s="105"/>
      <c r="AK63" s="30" t="str">
        <f t="shared" si="10"/>
        <v>차시예정</v>
      </c>
      <c r="AL63" s="30" t="str">
        <f t="shared" si="11"/>
        <v>-</v>
      </c>
      <c r="AM63" s="30" t="str">
        <f t="shared" si="16"/>
        <v>차시예정</v>
      </c>
      <c r="AN63" s="38"/>
      <c r="AO63" s="38"/>
      <c r="AP63" s="38"/>
      <c r="AQ63" s="29">
        <f t="shared" si="12"/>
        <v>2</v>
      </c>
      <c r="AR63" s="45"/>
      <c r="AS63" s="46"/>
    </row>
    <row r="64" spans="1:47" ht="24.95" customHeight="1" x14ac:dyDescent="0.3">
      <c r="A64" s="119"/>
      <c r="B64" s="21"/>
      <c r="C64" s="41" t="s">
        <v>123</v>
      </c>
      <c r="D64" s="41"/>
      <c r="E64" s="41"/>
      <c r="F64" s="41"/>
      <c r="G64" s="41"/>
      <c r="H64" s="41"/>
      <c r="I64" s="41"/>
      <c r="J64" s="24">
        <f t="shared" si="19"/>
        <v>0</v>
      </c>
      <c r="K64" s="41"/>
      <c r="L64" s="41"/>
      <c r="M64" s="41"/>
      <c r="N64" s="41"/>
      <c r="O64" s="41"/>
      <c r="P64" s="41"/>
      <c r="Q64" s="25">
        <f t="shared" si="1"/>
        <v>0</v>
      </c>
      <c r="R64" s="41"/>
      <c r="S64" s="41"/>
      <c r="T64" s="25">
        <f t="shared" si="17"/>
        <v>0</v>
      </c>
      <c r="U64" s="41"/>
      <c r="V64" s="41"/>
      <c r="W64" s="25">
        <f t="shared" si="3"/>
        <v>0</v>
      </c>
      <c r="X64" s="36"/>
      <c r="Y64" s="37">
        <f t="shared" si="4"/>
        <v>0</v>
      </c>
      <c r="Z64" s="37">
        <f t="shared" si="5"/>
        <v>0</v>
      </c>
      <c r="AA64" s="37">
        <f t="shared" si="6"/>
        <v>0</v>
      </c>
      <c r="AB64" s="37">
        <f t="shared" si="7"/>
        <v>0</v>
      </c>
      <c r="AC64" s="28">
        <f t="shared" si="8"/>
        <v>0</v>
      </c>
      <c r="AD64" s="28">
        <f t="shared" si="18"/>
        <v>12</v>
      </c>
      <c r="AE64" s="29" t="str">
        <f t="shared" si="9"/>
        <v>F</v>
      </c>
      <c r="AF64" s="29">
        <f t="shared" si="14"/>
        <v>0</v>
      </c>
      <c r="AG64" s="104" t="s">
        <v>80</v>
      </c>
      <c r="AH64" s="105"/>
      <c r="AI64" s="104"/>
      <c r="AJ64" s="105"/>
      <c r="AK64" s="30" t="str">
        <f t="shared" si="10"/>
        <v>차시예정</v>
      </c>
      <c r="AL64" s="30" t="str">
        <f t="shared" si="11"/>
        <v>-</v>
      </c>
      <c r="AM64" s="30" t="str">
        <f t="shared" si="16"/>
        <v>차시예정</v>
      </c>
      <c r="AN64" s="38"/>
      <c r="AO64" s="38"/>
      <c r="AP64" s="38"/>
      <c r="AQ64" s="29">
        <f t="shared" si="12"/>
        <v>2</v>
      </c>
      <c r="AR64" s="45"/>
      <c r="AS64" s="46"/>
    </row>
    <row r="65" spans="1:48" ht="24.95" customHeight="1" x14ac:dyDescent="0.3">
      <c r="A65" s="119"/>
      <c r="B65" s="21"/>
      <c r="C65" s="41" t="s">
        <v>124</v>
      </c>
      <c r="D65" s="41"/>
      <c r="E65" s="41"/>
      <c r="F65" s="41"/>
      <c r="G65" s="41"/>
      <c r="H65" s="41"/>
      <c r="I65" s="41"/>
      <c r="J65" s="24">
        <f t="shared" si="19"/>
        <v>0</v>
      </c>
      <c r="K65" s="41"/>
      <c r="L65" s="41"/>
      <c r="M65" s="41"/>
      <c r="N65" s="41"/>
      <c r="O65" s="41"/>
      <c r="P65" s="41"/>
      <c r="Q65" s="25">
        <f t="shared" si="1"/>
        <v>0</v>
      </c>
      <c r="R65" s="41"/>
      <c r="S65" s="41"/>
      <c r="T65" s="25">
        <f t="shared" si="17"/>
        <v>0</v>
      </c>
      <c r="U65" s="41"/>
      <c r="V65" s="41"/>
      <c r="W65" s="25">
        <f t="shared" si="3"/>
        <v>0</v>
      </c>
      <c r="X65" s="36"/>
      <c r="Y65" s="37">
        <f t="shared" si="4"/>
        <v>0</v>
      </c>
      <c r="Z65" s="37">
        <f t="shared" si="5"/>
        <v>0</v>
      </c>
      <c r="AA65" s="37">
        <f t="shared" si="6"/>
        <v>0</v>
      </c>
      <c r="AB65" s="37">
        <f t="shared" si="7"/>
        <v>0</v>
      </c>
      <c r="AC65" s="28">
        <f t="shared" si="8"/>
        <v>0</v>
      </c>
      <c r="AD65" s="28">
        <f t="shared" si="18"/>
        <v>12</v>
      </c>
      <c r="AE65" s="29" t="str">
        <f t="shared" si="9"/>
        <v>F</v>
      </c>
      <c r="AF65" s="29">
        <f t="shared" si="14"/>
        <v>0</v>
      </c>
      <c r="AG65" s="104" t="s">
        <v>35</v>
      </c>
      <c r="AH65" s="105"/>
      <c r="AI65" s="104"/>
      <c r="AJ65" s="105"/>
      <c r="AK65" s="30" t="str">
        <f t="shared" si="10"/>
        <v>차시예정</v>
      </c>
      <c r="AL65" s="30" t="str">
        <f t="shared" si="11"/>
        <v>-</v>
      </c>
      <c r="AM65" s="30" t="str">
        <f t="shared" si="16"/>
        <v>차시예정</v>
      </c>
      <c r="AN65" s="38"/>
      <c r="AO65" s="38"/>
      <c r="AP65" s="38"/>
      <c r="AQ65" s="29">
        <f t="shared" si="12"/>
        <v>2</v>
      </c>
      <c r="AR65" s="45"/>
      <c r="AS65" s="46"/>
    </row>
    <row r="66" spans="1:48" ht="24.95" customHeight="1" x14ac:dyDescent="0.3">
      <c r="A66" s="119"/>
      <c r="B66" s="21"/>
      <c r="C66" s="41" t="s">
        <v>125</v>
      </c>
      <c r="D66" s="41"/>
      <c r="E66" s="41"/>
      <c r="F66" s="41"/>
      <c r="G66" s="41"/>
      <c r="H66" s="41"/>
      <c r="I66" s="41"/>
      <c r="J66" s="24">
        <f t="shared" si="19"/>
        <v>0</v>
      </c>
      <c r="K66" s="41"/>
      <c r="L66" s="41"/>
      <c r="M66" s="41"/>
      <c r="N66" s="41"/>
      <c r="O66" s="41"/>
      <c r="P66" s="41"/>
      <c r="Q66" s="25">
        <f t="shared" si="1"/>
        <v>0</v>
      </c>
      <c r="R66" s="41"/>
      <c r="S66" s="41"/>
      <c r="T66" s="25">
        <f t="shared" si="17"/>
        <v>0</v>
      </c>
      <c r="U66" s="41"/>
      <c r="V66" s="41"/>
      <c r="W66" s="25">
        <f t="shared" si="3"/>
        <v>0</v>
      </c>
      <c r="X66" s="36"/>
      <c r="Y66" s="37">
        <f t="shared" si="4"/>
        <v>0</v>
      </c>
      <c r="Z66" s="37">
        <f t="shared" si="5"/>
        <v>0</v>
      </c>
      <c r="AA66" s="37">
        <f t="shared" si="6"/>
        <v>0</v>
      </c>
      <c r="AB66" s="37">
        <f t="shared" si="7"/>
        <v>0</v>
      </c>
      <c r="AC66" s="28">
        <f t="shared" si="8"/>
        <v>0</v>
      </c>
      <c r="AD66" s="28">
        <f t="shared" si="18"/>
        <v>12</v>
      </c>
      <c r="AE66" s="29" t="str">
        <f t="shared" si="9"/>
        <v>F</v>
      </c>
      <c r="AF66" s="29">
        <f t="shared" si="14"/>
        <v>0</v>
      </c>
      <c r="AG66" s="104" t="s">
        <v>80</v>
      </c>
      <c r="AH66" s="105"/>
      <c r="AI66" s="104"/>
      <c r="AJ66" s="105"/>
      <c r="AK66" s="30" t="str">
        <f t="shared" si="10"/>
        <v>차시예정</v>
      </c>
      <c r="AL66" s="30" t="str">
        <f t="shared" si="11"/>
        <v>-</v>
      </c>
      <c r="AM66" s="30" t="str">
        <f t="shared" si="16"/>
        <v>차시예정</v>
      </c>
      <c r="AN66" s="38"/>
      <c r="AO66" s="38"/>
      <c r="AP66" s="38"/>
      <c r="AQ66" s="29">
        <f t="shared" si="12"/>
        <v>2</v>
      </c>
      <c r="AR66" s="45"/>
      <c r="AS66" s="46"/>
    </row>
    <row r="67" spans="1:48" ht="24.95" customHeight="1" x14ac:dyDescent="0.3">
      <c r="A67" s="119"/>
      <c r="B67" s="21"/>
      <c r="C67" s="41" t="s">
        <v>126</v>
      </c>
      <c r="D67" s="41"/>
      <c r="E67" s="41"/>
      <c r="F67" s="41"/>
      <c r="G67" s="41"/>
      <c r="H67" s="41"/>
      <c r="I67" s="41"/>
      <c r="J67" s="24">
        <f t="shared" si="19"/>
        <v>0</v>
      </c>
      <c r="K67" s="41"/>
      <c r="L67" s="41"/>
      <c r="M67" s="41"/>
      <c r="N67" s="41"/>
      <c r="O67" s="41"/>
      <c r="P67" s="41"/>
      <c r="Q67" s="25">
        <f t="shared" ref="Q67:Q81" si="20">SUM(K67:P67)</f>
        <v>0</v>
      </c>
      <c r="R67" s="41"/>
      <c r="S67" s="41"/>
      <c r="T67" s="25">
        <f t="shared" si="17"/>
        <v>0</v>
      </c>
      <c r="U67" s="41"/>
      <c r="V67" s="41"/>
      <c r="W67" s="25">
        <f t="shared" ref="W67:W81" si="21">SUM(U67:V67)</f>
        <v>0</v>
      </c>
      <c r="X67" s="36"/>
      <c r="Y67" s="37">
        <f t="shared" si="4"/>
        <v>0</v>
      </c>
      <c r="Z67" s="37">
        <f t="shared" si="5"/>
        <v>0</v>
      </c>
      <c r="AA67" s="37">
        <f t="shared" si="6"/>
        <v>0</v>
      </c>
      <c r="AB67" s="37">
        <f t="shared" si="7"/>
        <v>0</v>
      </c>
      <c r="AC67" s="28">
        <f t="shared" si="8"/>
        <v>0</v>
      </c>
      <c r="AD67" s="28">
        <f t="shared" si="18"/>
        <v>12</v>
      </c>
      <c r="AE67" s="29" t="str">
        <f t="shared" si="9"/>
        <v>F</v>
      </c>
      <c r="AF67" s="29">
        <f t="shared" si="14"/>
        <v>0</v>
      </c>
      <c r="AG67" s="104" t="s">
        <v>80</v>
      </c>
      <c r="AH67" s="105"/>
      <c r="AI67" s="104"/>
      <c r="AJ67" s="105"/>
      <c r="AK67" s="30" t="str">
        <f t="shared" si="10"/>
        <v>차시예정</v>
      </c>
      <c r="AL67" s="30" t="str">
        <f t="shared" si="11"/>
        <v>-</v>
      </c>
      <c r="AM67" s="30" t="str">
        <f t="shared" si="16"/>
        <v>차시예정</v>
      </c>
      <c r="AN67" s="38"/>
      <c r="AO67" s="38"/>
      <c r="AP67" s="38"/>
      <c r="AQ67" s="29">
        <f t="shared" si="12"/>
        <v>2</v>
      </c>
      <c r="AR67" s="45"/>
      <c r="AS67" s="46"/>
    </row>
    <row r="68" spans="1:48" ht="24.95" customHeight="1" x14ac:dyDescent="0.3">
      <c r="A68" s="119"/>
      <c r="B68" s="21"/>
      <c r="C68" s="41" t="s">
        <v>127</v>
      </c>
      <c r="D68" s="41"/>
      <c r="E68" s="41"/>
      <c r="F68" s="41"/>
      <c r="G68" s="41"/>
      <c r="H68" s="41"/>
      <c r="I68" s="41"/>
      <c r="J68" s="24">
        <f t="shared" si="19"/>
        <v>0</v>
      </c>
      <c r="K68" s="41"/>
      <c r="L68" s="41"/>
      <c r="M68" s="41"/>
      <c r="N68" s="41"/>
      <c r="O68" s="41"/>
      <c r="P68" s="41"/>
      <c r="Q68" s="25">
        <f t="shared" si="20"/>
        <v>0</v>
      </c>
      <c r="R68" s="41"/>
      <c r="S68" s="41"/>
      <c r="T68" s="25">
        <f t="shared" ref="T68:T73" si="22">SUM(R68:S68)</f>
        <v>0</v>
      </c>
      <c r="U68" s="41"/>
      <c r="V68" s="41"/>
      <c r="W68" s="25">
        <f t="shared" si="21"/>
        <v>0</v>
      </c>
      <c r="X68" s="36"/>
      <c r="Y68" s="37">
        <f t="shared" ref="Y68:Y81" si="23">J68/$Y$3</f>
        <v>0</v>
      </c>
      <c r="Z68" s="37">
        <f t="shared" ref="Z68:Z81" si="24">Q68/$Z$3</f>
        <v>0</v>
      </c>
      <c r="AA68" s="37">
        <f t="shared" ref="AA68:AA81" si="25">T68/$AA$3</f>
        <v>0</v>
      </c>
      <c r="AB68" s="37">
        <f t="shared" ref="AB68:AB81" si="26">W68/$AB$3</f>
        <v>0</v>
      </c>
      <c r="AC68" s="28">
        <f t="shared" ref="AC68:AC81" si="27">SUM(J68,Q68,T68,W68)</f>
        <v>0</v>
      </c>
      <c r="AD68" s="28">
        <f t="shared" si="18"/>
        <v>12</v>
      </c>
      <c r="AE68" s="29" t="str">
        <f t="shared" ref="AE68:AE81" si="28">IF(AC68&gt;=$AC$3*0.7, "P", "F")</f>
        <v>F</v>
      </c>
      <c r="AF68" s="29">
        <f t="shared" si="14"/>
        <v>0</v>
      </c>
      <c r="AG68" s="104" t="s">
        <v>80</v>
      </c>
      <c r="AH68" s="105"/>
      <c r="AI68" s="104"/>
      <c r="AJ68" s="105"/>
      <c r="AK68" s="30" t="str">
        <f t="shared" ref="AK68:AK81" si="29">IF(AE68="P", "-","차시예정")</f>
        <v>차시예정</v>
      </c>
      <c r="AL68" s="30" t="str">
        <f t="shared" ref="AL68:AL81" si="30">IF(AG68="P", "-","차시예정")</f>
        <v>-</v>
      </c>
      <c r="AM68" s="30" t="str">
        <f t="shared" si="16"/>
        <v>차시예정</v>
      </c>
      <c r="AN68" s="38"/>
      <c r="AO68" s="38"/>
      <c r="AP68" s="38"/>
      <c r="AQ68" s="29">
        <f t="shared" si="12"/>
        <v>2</v>
      </c>
      <c r="AR68" s="45"/>
      <c r="AS68" s="46"/>
    </row>
    <row r="69" spans="1:48" ht="24.95" customHeight="1" x14ac:dyDescent="0.3">
      <c r="A69" s="119"/>
      <c r="B69" s="21"/>
      <c r="C69" s="41" t="s">
        <v>128</v>
      </c>
      <c r="D69" s="41">
        <v>1</v>
      </c>
      <c r="E69" s="41">
        <v>1</v>
      </c>
      <c r="F69" s="41">
        <v>1</v>
      </c>
      <c r="G69" s="41">
        <v>1</v>
      </c>
      <c r="H69" s="41">
        <v>1</v>
      </c>
      <c r="I69" s="41">
        <v>0</v>
      </c>
      <c r="J69" s="24">
        <f t="shared" si="19"/>
        <v>5</v>
      </c>
      <c r="K69" s="41">
        <v>0</v>
      </c>
      <c r="L69" s="41">
        <v>0</v>
      </c>
      <c r="M69" s="41">
        <v>0</v>
      </c>
      <c r="N69" s="41">
        <v>0</v>
      </c>
      <c r="O69" s="41">
        <v>1</v>
      </c>
      <c r="P69" s="41">
        <v>1</v>
      </c>
      <c r="Q69" s="25">
        <f t="shared" si="20"/>
        <v>2</v>
      </c>
      <c r="R69" s="41">
        <v>1</v>
      </c>
      <c r="S69" s="41">
        <v>0</v>
      </c>
      <c r="T69" s="25">
        <f t="shared" si="22"/>
        <v>1</v>
      </c>
      <c r="U69" s="41">
        <v>1</v>
      </c>
      <c r="V69" s="41">
        <v>0</v>
      </c>
      <c r="W69" s="25">
        <f t="shared" si="21"/>
        <v>1</v>
      </c>
      <c r="X69" s="36"/>
      <c r="Y69" s="37">
        <f t="shared" si="23"/>
        <v>0.83333333333333337</v>
      </c>
      <c r="Z69" s="37">
        <f t="shared" si="24"/>
        <v>0.33333333333333331</v>
      </c>
      <c r="AA69" s="37">
        <f t="shared" si="25"/>
        <v>0.5</v>
      </c>
      <c r="AB69" s="37">
        <f t="shared" si="26"/>
        <v>0.5</v>
      </c>
      <c r="AC69" s="28">
        <f t="shared" si="27"/>
        <v>9</v>
      </c>
      <c r="AD69" s="28">
        <f t="shared" si="18"/>
        <v>7</v>
      </c>
      <c r="AE69" s="29" t="str">
        <f t="shared" si="28"/>
        <v>F</v>
      </c>
      <c r="AF69" s="29">
        <f t="shared" ref="AF69:AF81" si="31">AC69</f>
        <v>9</v>
      </c>
      <c r="AG69" s="104" t="s">
        <v>35</v>
      </c>
      <c r="AH69" s="105"/>
      <c r="AI69" s="104" t="s">
        <v>35</v>
      </c>
      <c r="AJ69" s="105"/>
      <c r="AK69" s="30" t="str">
        <f t="shared" si="29"/>
        <v>차시예정</v>
      </c>
      <c r="AL69" s="30" t="str">
        <f t="shared" si="30"/>
        <v>-</v>
      </c>
      <c r="AM69" s="30" t="str">
        <f t="shared" si="16"/>
        <v>-</v>
      </c>
      <c r="AN69" s="38"/>
      <c r="AO69" s="38"/>
      <c r="AP69" s="38" t="s">
        <v>90</v>
      </c>
      <c r="AQ69" s="29">
        <f t="shared" ref="AQ69:AQ81" si="32">COUNTIF(AK69:AP69, "차시예정")+COUNTIF(AK69:AP69, "X")</f>
        <v>1</v>
      </c>
      <c r="AR69" s="45"/>
      <c r="AS69" s="46"/>
    </row>
    <row r="70" spans="1:48" ht="24.95" customHeight="1" x14ac:dyDescent="0.3">
      <c r="A70" s="119"/>
      <c r="B70" s="21"/>
      <c r="C70" s="41" t="s">
        <v>129</v>
      </c>
      <c r="D70" s="41"/>
      <c r="E70" s="41"/>
      <c r="F70" s="41"/>
      <c r="G70" s="41"/>
      <c r="H70" s="41"/>
      <c r="I70" s="41"/>
      <c r="J70" s="24">
        <f t="shared" si="19"/>
        <v>0</v>
      </c>
      <c r="K70" s="41"/>
      <c r="L70" s="41"/>
      <c r="M70" s="41"/>
      <c r="N70" s="41"/>
      <c r="O70" s="41"/>
      <c r="P70" s="41"/>
      <c r="Q70" s="25">
        <f t="shared" si="20"/>
        <v>0</v>
      </c>
      <c r="R70" s="41"/>
      <c r="S70" s="41"/>
      <c r="T70" s="25">
        <f t="shared" si="22"/>
        <v>0</v>
      </c>
      <c r="U70" s="41"/>
      <c r="V70" s="41"/>
      <c r="W70" s="25">
        <f t="shared" si="21"/>
        <v>0</v>
      </c>
      <c r="X70" s="36"/>
      <c r="Y70" s="37">
        <f t="shared" si="23"/>
        <v>0</v>
      </c>
      <c r="Z70" s="37">
        <f t="shared" si="24"/>
        <v>0</v>
      </c>
      <c r="AA70" s="37">
        <f t="shared" si="25"/>
        <v>0</v>
      </c>
      <c r="AB70" s="37">
        <f t="shared" si="26"/>
        <v>0</v>
      </c>
      <c r="AC70" s="28">
        <f t="shared" si="27"/>
        <v>0</v>
      </c>
      <c r="AD70" s="28">
        <f t="shared" si="18"/>
        <v>12</v>
      </c>
      <c r="AE70" s="29" t="str">
        <f t="shared" si="28"/>
        <v>F</v>
      </c>
      <c r="AF70" s="29">
        <f t="shared" si="31"/>
        <v>0</v>
      </c>
      <c r="AG70" s="104" t="s">
        <v>35</v>
      </c>
      <c r="AH70" s="105"/>
      <c r="AI70" s="104"/>
      <c r="AJ70" s="105"/>
      <c r="AK70" s="30" t="str">
        <f t="shared" si="29"/>
        <v>차시예정</v>
      </c>
      <c r="AL70" s="30" t="str">
        <f t="shared" si="30"/>
        <v>-</v>
      </c>
      <c r="AM70" s="30" t="str">
        <f t="shared" si="16"/>
        <v>차시예정</v>
      </c>
      <c r="AN70" s="38"/>
      <c r="AO70" s="38"/>
      <c r="AP70" s="38"/>
      <c r="AQ70" s="29">
        <f t="shared" si="32"/>
        <v>2</v>
      </c>
      <c r="AR70" s="45"/>
      <c r="AS70" s="46"/>
    </row>
    <row r="71" spans="1:48" ht="24.95" customHeight="1" x14ac:dyDescent="0.3">
      <c r="A71" s="119"/>
      <c r="B71" s="21"/>
      <c r="C71" s="41" t="s">
        <v>130</v>
      </c>
      <c r="D71" s="41"/>
      <c r="E71" s="41"/>
      <c r="F71" s="41"/>
      <c r="G71" s="41"/>
      <c r="H71" s="41"/>
      <c r="I71" s="41"/>
      <c r="J71" s="24">
        <f t="shared" si="19"/>
        <v>0</v>
      </c>
      <c r="K71" s="41"/>
      <c r="L71" s="41"/>
      <c r="M71" s="41"/>
      <c r="N71" s="41"/>
      <c r="O71" s="41"/>
      <c r="P71" s="41"/>
      <c r="Q71" s="25">
        <f t="shared" si="20"/>
        <v>0</v>
      </c>
      <c r="R71" s="41"/>
      <c r="S71" s="41"/>
      <c r="T71" s="25">
        <f t="shared" si="22"/>
        <v>0</v>
      </c>
      <c r="U71" s="41"/>
      <c r="V71" s="41"/>
      <c r="W71" s="25">
        <f t="shared" si="21"/>
        <v>0</v>
      </c>
      <c r="X71" s="36"/>
      <c r="Y71" s="37">
        <f t="shared" si="23"/>
        <v>0</v>
      </c>
      <c r="Z71" s="37">
        <f t="shared" si="24"/>
        <v>0</v>
      </c>
      <c r="AA71" s="37">
        <f t="shared" si="25"/>
        <v>0</v>
      </c>
      <c r="AB71" s="37">
        <f t="shared" si="26"/>
        <v>0</v>
      </c>
      <c r="AC71" s="28">
        <f t="shared" si="27"/>
        <v>0</v>
      </c>
      <c r="AD71" s="28">
        <f t="shared" si="18"/>
        <v>12</v>
      </c>
      <c r="AE71" s="29" t="str">
        <f t="shared" si="28"/>
        <v>F</v>
      </c>
      <c r="AF71" s="29">
        <f t="shared" si="31"/>
        <v>0</v>
      </c>
      <c r="AG71" s="108" t="s">
        <v>35</v>
      </c>
      <c r="AH71" s="109"/>
      <c r="AI71" s="108"/>
      <c r="AJ71" s="109"/>
      <c r="AK71" s="30" t="str">
        <f t="shared" si="29"/>
        <v>차시예정</v>
      </c>
      <c r="AL71" s="30" t="str">
        <f t="shared" si="30"/>
        <v>-</v>
      </c>
      <c r="AM71" s="30" t="str">
        <f t="shared" si="16"/>
        <v>차시예정</v>
      </c>
      <c r="AN71" s="38"/>
      <c r="AO71" s="38"/>
      <c r="AP71" s="38"/>
      <c r="AQ71" s="29">
        <f t="shared" si="32"/>
        <v>2</v>
      </c>
      <c r="AR71" s="45"/>
      <c r="AS71" s="46"/>
      <c r="AV71" s="48" t="s">
        <v>131</v>
      </c>
    </row>
    <row r="72" spans="1:48" ht="24.95" customHeight="1" x14ac:dyDescent="0.3">
      <c r="A72" s="119"/>
      <c r="B72" s="21"/>
      <c r="C72" s="41" t="s">
        <v>132</v>
      </c>
      <c r="D72" s="41"/>
      <c r="E72" s="41"/>
      <c r="F72" s="41"/>
      <c r="G72" s="41"/>
      <c r="H72" s="41"/>
      <c r="I72" s="41"/>
      <c r="J72" s="24">
        <f t="shared" si="19"/>
        <v>0</v>
      </c>
      <c r="K72" s="41"/>
      <c r="L72" s="41"/>
      <c r="M72" s="41"/>
      <c r="N72" s="41"/>
      <c r="O72" s="41"/>
      <c r="P72" s="41"/>
      <c r="Q72" s="25">
        <f t="shared" si="20"/>
        <v>0</v>
      </c>
      <c r="R72" s="41"/>
      <c r="S72" s="41"/>
      <c r="T72" s="25">
        <f t="shared" si="22"/>
        <v>0</v>
      </c>
      <c r="U72" s="41"/>
      <c r="V72" s="41"/>
      <c r="W72" s="25">
        <f t="shared" si="21"/>
        <v>0</v>
      </c>
      <c r="X72" s="36"/>
      <c r="Y72" s="37">
        <f t="shared" si="23"/>
        <v>0</v>
      </c>
      <c r="Z72" s="37">
        <f t="shared" si="24"/>
        <v>0</v>
      </c>
      <c r="AA72" s="37">
        <f t="shared" si="25"/>
        <v>0</v>
      </c>
      <c r="AB72" s="37">
        <f t="shared" si="26"/>
        <v>0</v>
      </c>
      <c r="AC72" s="28">
        <f t="shared" si="27"/>
        <v>0</v>
      </c>
      <c r="AD72" s="28">
        <f t="shared" si="18"/>
        <v>12</v>
      </c>
      <c r="AE72" s="29" t="str">
        <f t="shared" si="28"/>
        <v>F</v>
      </c>
      <c r="AF72" s="29">
        <f t="shared" si="31"/>
        <v>0</v>
      </c>
      <c r="AG72" s="104" t="s">
        <v>35</v>
      </c>
      <c r="AH72" s="105"/>
      <c r="AI72" s="104"/>
      <c r="AJ72" s="105"/>
      <c r="AK72" s="30" t="str">
        <f t="shared" si="29"/>
        <v>차시예정</v>
      </c>
      <c r="AL72" s="30" t="str">
        <f t="shared" si="30"/>
        <v>-</v>
      </c>
      <c r="AM72" s="30" t="str">
        <f t="shared" si="16"/>
        <v>차시예정</v>
      </c>
      <c r="AN72" s="38"/>
      <c r="AO72" s="38"/>
      <c r="AP72" s="38"/>
      <c r="AQ72" s="29">
        <f t="shared" si="32"/>
        <v>2</v>
      </c>
      <c r="AR72" s="45"/>
      <c r="AS72" s="46"/>
    </row>
    <row r="73" spans="1:48" ht="24.95" customHeight="1" x14ac:dyDescent="0.3">
      <c r="A73" s="119"/>
      <c r="B73" s="21"/>
      <c r="C73" s="41" t="s">
        <v>133</v>
      </c>
      <c r="D73" s="41">
        <v>1</v>
      </c>
      <c r="E73" s="41">
        <v>1</v>
      </c>
      <c r="F73" s="41">
        <v>1</v>
      </c>
      <c r="G73" s="41">
        <v>1</v>
      </c>
      <c r="H73" s="41">
        <v>1</v>
      </c>
      <c r="I73" s="41">
        <v>1</v>
      </c>
      <c r="J73" s="24">
        <f t="shared" si="19"/>
        <v>6</v>
      </c>
      <c r="K73" s="41">
        <v>0</v>
      </c>
      <c r="L73" s="41">
        <v>1</v>
      </c>
      <c r="M73" s="41">
        <v>1</v>
      </c>
      <c r="N73" s="41">
        <v>0</v>
      </c>
      <c r="O73" s="41">
        <v>1</v>
      </c>
      <c r="P73" s="41">
        <v>0</v>
      </c>
      <c r="Q73" s="25">
        <f t="shared" si="20"/>
        <v>3</v>
      </c>
      <c r="R73" s="41">
        <v>1</v>
      </c>
      <c r="S73" s="41">
        <v>1</v>
      </c>
      <c r="T73" s="25">
        <f t="shared" si="22"/>
        <v>2</v>
      </c>
      <c r="U73" s="41">
        <v>1</v>
      </c>
      <c r="V73" s="41">
        <v>0</v>
      </c>
      <c r="W73" s="25">
        <f t="shared" si="21"/>
        <v>1</v>
      </c>
      <c r="X73" s="36"/>
      <c r="Y73" s="37">
        <f t="shared" si="23"/>
        <v>1</v>
      </c>
      <c r="Z73" s="37">
        <f t="shared" si="24"/>
        <v>0.5</v>
      </c>
      <c r="AA73" s="37">
        <f t="shared" si="25"/>
        <v>1</v>
      </c>
      <c r="AB73" s="37">
        <f t="shared" si="26"/>
        <v>0.5</v>
      </c>
      <c r="AC73" s="28">
        <f t="shared" si="27"/>
        <v>12</v>
      </c>
      <c r="AD73" s="28">
        <f t="shared" si="18"/>
        <v>4</v>
      </c>
      <c r="AE73" s="29" t="str">
        <f t="shared" si="28"/>
        <v>P</v>
      </c>
      <c r="AF73" s="29">
        <f t="shared" si="31"/>
        <v>12</v>
      </c>
      <c r="AG73" s="104" t="s">
        <v>35</v>
      </c>
      <c r="AH73" s="105"/>
      <c r="AI73" s="104"/>
      <c r="AJ73" s="105"/>
      <c r="AK73" s="30" t="str">
        <f t="shared" si="29"/>
        <v>-</v>
      </c>
      <c r="AL73" s="30" t="str">
        <f t="shared" si="30"/>
        <v>-</v>
      </c>
      <c r="AM73" s="30" t="str">
        <f t="shared" si="16"/>
        <v>차시예정</v>
      </c>
      <c r="AN73" s="38"/>
      <c r="AO73" s="38"/>
      <c r="AP73" s="38" t="s">
        <v>103</v>
      </c>
      <c r="AQ73" s="29">
        <f t="shared" si="32"/>
        <v>1</v>
      </c>
      <c r="AR73" s="45"/>
      <c r="AS73" s="45"/>
    </row>
    <row r="74" spans="1:48" ht="24.95" customHeight="1" x14ac:dyDescent="0.3">
      <c r="A74" s="119"/>
      <c r="B74" s="21"/>
      <c r="C74" s="49" t="s">
        <v>134</v>
      </c>
      <c r="D74" s="49"/>
      <c r="E74" s="49"/>
      <c r="F74" s="49"/>
      <c r="G74" s="49"/>
      <c r="H74" s="49"/>
      <c r="I74" s="49"/>
      <c r="J74" s="50">
        <f t="shared" si="19"/>
        <v>0</v>
      </c>
      <c r="K74" s="49"/>
      <c r="L74" s="49"/>
      <c r="M74" s="49"/>
      <c r="N74" s="49"/>
      <c r="O74" s="49"/>
      <c r="P74" s="49"/>
      <c r="Q74" s="51">
        <f t="shared" si="20"/>
        <v>0</v>
      </c>
      <c r="R74" s="49"/>
      <c r="S74" s="49"/>
      <c r="T74" s="51">
        <f t="shared" ref="T74:T81" si="33">SUM(R74:R74)</f>
        <v>0</v>
      </c>
      <c r="U74" s="49"/>
      <c r="V74" s="49"/>
      <c r="W74" s="51">
        <f t="shared" si="21"/>
        <v>0</v>
      </c>
      <c r="X74" s="52"/>
      <c r="Y74" s="53">
        <f t="shared" si="23"/>
        <v>0</v>
      </c>
      <c r="Z74" s="53">
        <f t="shared" si="24"/>
        <v>0</v>
      </c>
      <c r="AA74" s="53">
        <f t="shared" si="25"/>
        <v>0</v>
      </c>
      <c r="AB74" s="53">
        <f t="shared" si="26"/>
        <v>0</v>
      </c>
      <c r="AC74" s="51">
        <f t="shared" si="27"/>
        <v>0</v>
      </c>
      <c r="AD74" s="51">
        <f t="shared" si="18"/>
        <v>12</v>
      </c>
      <c r="AE74" s="54" t="str">
        <f t="shared" si="28"/>
        <v>F</v>
      </c>
      <c r="AF74" s="54">
        <f t="shared" si="31"/>
        <v>0</v>
      </c>
      <c r="AG74" s="106" t="s">
        <v>35</v>
      </c>
      <c r="AH74" s="107"/>
      <c r="AI74" s="106"/>
      <c r="AJ74" s="107"/>
      <c r="AK74" s="55" t="str">
        <f t="shared" si="29"/>
        <v>차시예정</v>
      </c>
      <c r="AL74" s="55" t="str">
        <f t="shared" si="30"/>
        <v>-</v>
      </c>
      <c r="AM74" s="55" t="str">
        <f t="shared" si="16"/>
        <v>차시예정</v>
      </c>
      <c r="AN74" s="38"/>
      <c r="AO74" s="38"/>
      <c r="AP74" s="38"/>
      <c r="AQ74" s="29">
        <f t="shared" si="32"/>
        <v>2</v>
      </c>
      <c r="AR74" s="56"/>
      <c r="AS74" s="56"/>
    </row>
    <row r="75" spans="1:48" ht="24.95" customHeight="1" x14ac:dyDescent="0.3">
      <c r="A75" s="119"/>
      <c r="B75" s="21"/>
      <c r="C75" s="49" t="s">
        <v>134</v>
      </c>
      <c r="D75" s="49"/>
      <c r="E75" s="49"/>
      <c r="F75" s="49"/>
      <c r="G75" s="49"/>
      <c r="H75" s="49"/>
      <c r="I75" s="49"/>
      <c r="J75" s="50">
        <f t="shared" si="19"/>
        <v>0</v>
      </c>
      <c r="K75" s="49"/>
      <c r="L75" s="49"/>
      <c r="M75" s="49"/>
      <c r="N75" s="49"/>
      <c r="O75" s="49"/>
      <c r="P75" s="49"/>
      <c r="Q75" s="51">
        <f t="shared" si="20"/>
        <v>0</v>
      </c>
      <c r="R75" s="49"/>
      <c r="S75" s="49"/>
      <c r="T75" s="51">
        <f t="shared" si="33"/>
        <v>0</v>
      </c>
      <c r="U75" s="49"/>
      <c r="V75" s="49"/>
      <c r="W75" s="51">
        <f t="shared" si="21"/>
        <v>0</v>
      </c>
      <c r="X75" s="52"/>
      <c r="Y75" s="53">
        <f t="shared" si="23"/>
        <v>0</v>
      </c>
      <c r="Z75" s="53">
        <f t="shared" si="24"/>
        <v>0</v>
      </c>
      <c r="AA75" s="53">
        <f t="shared" si="25"/>
        <v>0</v>
      </c>
      <c r="AB75" s="53">
        <f t="shared" si="26"/>
        <v>0</v>
      </c>
      <c r="AC75" s="51">
        <f t="shared" si="27"/>
        <v>0</v>
      </c>
      <c r="AD75" s="51">
        <f t="shared" si="18"/>
        <v>12</v>
      </c>
      <c r="AE75" s="54" t="str">
        <f t="shared" si="28"/>
        <v>F</v>
      </c>
      <c r="AF75" s="54">
        <f t="shared" si="31"/>
        <v>0</v>
      </c>
      <c r="AG75" s="106" t="s">
        <v>35</v>
      </c>
      <c r="AH75" s="107"/>
      <c r="AI75" s="106"/>
      <c r="AJ75" s="107"/>
      <c r="AK75" s="55" t="str">
        <f t="shared" si="29"/>
        <v>차시예정</v>
      </c>
      <c r="AL75" s="55" t="str">
        <f t="shared" si="30"/>
        <v>-</v>
      </c>
      <c r="AM75" s="55" t="str">
        <f t="shared" ref="AM75:AM81" si="34">IF(AI75="P", "-","차시예정")</f>
        <v>차시예정</v>
      </c>
      <c r="AN75" s="38"/>
      <c r="AO75" s="38"/>
      <c r="AP75" s="38"/>
      <c r="AQ75" s="29">
        <f t="shared" si="32"/>
        <v>2</v>
      </c>
      <c r="AR75" s="56"/>
      <c r="AS75" s="56"/>
    </row>
    <row r="76" spans="1:48" ht="24.95" customHeight="1" x14ac:dyDescent="0.3">
      <c r="A76" s="119"/>
      <c r="B76" s="21"/>
      <c r="C76" s="49" t="s">
        <v>134</v>
      </c>
      <c r="D76" s="49"/>
      <c r="E76" s="49"/>
      <c r="F76" s="49"/>
      <c r="G76" s="49"/>
      <c r="H76" s="49"/>
      <c r="I76" s="49"/>
      <c r="J76" s="50">
        <f t="shared" si="19"/>
        <v>0</v>
      </c>
      <c r="K76" s="49"/>
      <c r="L76" s="49"/>
      <c r="M76" s="49"/>
      <c r="N76" s="49"/>
      <c r="O76" s="49"/>
      <c r="P76" s="49"/>
      <c r="Q76" s="51">
        <f t="shared" si="20"/>
        <v>0</v>
      </c>
      <c r="R76" s="49"/>
      <c r="S76" s="49"/>
      <c r="T76" s="51">
        <f t="shared" si="33"/>
        <v>0</v>
      </c>
      <c r="U76" s="49"/>
      <c r="V76" s="49"/>
      <c r="W76" s="51">
        <f t="shared" si="21"/>
        <v>0</v>
      </c>
      <c r="X76" s="52"/>
      <c r="Y76" s="53">
        <f t="shared" si="23"/>
        <v>0</v>
      </c>
      <c r="Z76" s="53">
        <f t="shared" si="24"/>
        <v>0</v>
      </c>
      <c r="AA76" s="53">
        <f t="shared" si="25"/>
        <v>0</v>
      </c>
      <c r="AB76" s="53">
        <f t="shared" si="26"/>
        <v>0</v>
      </c>
      <c r="AC76" s="51">
        <f t="shared" si="27"/>
        <v>0</v>
      </c>
      <c r="AD76" s="51">
        <f t="shared" si="18"/>
        <v>12</v>
      </c>
      <c r="AE76" s="54" t="str">
        <f t="shared" si="28"/>
        <v>F</v>
      </c>
      <c r="AF76" s="54">
        <f t="shared" si="31"/>
        <v>0</v>
      </c>
      <c r="AG76" s="106" t="s">
        <v>35</v>
      </c>
      <c r="AH76" s="107"/>
      <c r="AI76" s="106"/>
      <c r="AJ76" s="107"/>
      <c r="AK76" s="55" t="str">
        <f t="shared" si="29"/>
        <v>차시예정</v>
      </c>
      <c r="AL76" s="55" t="str">
        <f t="shared" si="30"/>
        <v>-</v>
      </c>
      <c r="AM76" s="55" t="str">
        <f t="shared" si="34"/>
        <v>차시예정</v>
      </c>
      <c r="AN76" s="57"/>
      <c r="AO76" s="57"/>
      <c r="AP76" s="57"/>
      <c r="AQ76" s="54">
        <f t="shared" si="32"/>
        <v>2</v>
      </c>
      <c r="AR76" s="56"/>
      <c r="AS76" s="56"/>
    </row>
    <row r="77" spans="1:48" ht="24.95" customHeight="1" x14ac:dyDescent="0.3">
      <c r="A77" s="119"/>
      <c r="B77" s="21"/>
      <c r="C77" s="49" t="s">
        <v>134</v>
      </c>
      <c r="D77" s="49"/>
      <c r="E77" s="49"/>
      <c r="F77" s="49"/>
      <c r="G77" s="49"/>
      <c r="H77" s="49"/>
      <c r="I77" s="49"/>
      <c r="J77" s="50">
        <f t="shared" si="19"/>
        <v>0</v>
      </c>
      <c r="K77" s="49"/>
      <c r="L77" s="49"/>
      <c r="M77" s="49"/>
      <c r="N77" s="49"/>
      <c r="O77" s="49"/>
      <c r="P77" s="49"/>
      <c r="Q77" s="51">
        <f t="shared" si="20"/>
        <v>0</v>
      </c>
      <c r="R77" s="49"/>
      <c r="S77" s="49"/>
      <c r="T77" s="51">
        <f t="shared" si="33"/>
        <v>0</v>
      </c>
      <c r="U77" s="49"/>
      <c r="V77" s="49"/>
      <c r="W77" s="51">
        <f t="shared" si="21"/>
        <v>0</v>
      </c>
      <c r="X77" s="52"/>
      <c r="Y77" s="53">
        <f t="shared" si="23"/>
        <v>0</v>
      </c>
      <c r="Z77" s="53">
        <f t="shared" si="24"/>
        <v>0</v>
      </c>
      <c r="AA77" s="53">
        <f t="shared" si="25"/>
        <v>0</v>
      </c>
      <c r="AB77" s="53">
        <f t="shared" si="26"/>
        <v>0</v>
      </c>
      <c r="AC77" s="51">
        <f t="shared" si="27"/>
        <v>0</v>
      </c>
      <c r="AD77" s="51">
        <f t="shared" si="18"/>
        <v>12</v>
      </c>
      <c r="AE77" s="54" t="str">
        <f t="shared" si="28"/>
        <v>F</v>
      </c>
      <c r="AF77" s="54">
        <f t="shared" si="31"/>
        <v>0</v>
      </c>
      <c r="AG77" s="106" t="s">
        <v>35</v>
      </c>
      <c r="AH77" s="107"/>
      <c r="AI77" s="106"/>
      <c r="AJ77" s="107"/>
      <c r="AK77" s="55" t="str">
        <f t="shared" si="29"/>
        <v>차시예정</v>
      </c>
      <c r="AL77" s="55" t="str">
        <f t="shared" si="30"/>
        <v>-</v>
      </c>
      <c r="AM77" s="55" t="str">
        <f t="shared" si="34"/>
        <v>차시예정</v>
      </c>
      <c r="AN77" s="57"/>
      <c r="AO77" s="57"/>
      <c r="AP77" s="57"/>
      <c r="AQ77" s="54">
        <f t="shared" si="32"/>
        <v>2</v>
      </c>
      <c r="AR77" s="56"/>
      <c r="AS77" s="56"/>
    </row>
    <row r="78" spans="1:48" ht="24.95" customHeight="1" x14ac:dyDescent="0.3">
      <c r="A78" s="119"/>
      <c r="B78" s="21"/>
      <c r="C78" s="49" t="s">
        <v>134</v>
      </c>
      <c r="D78" s="49"/>
      <c r="E78" s="49"/>
      <c r="F78" s="49"/>
      <c r="G78" s="49"/>
      <c r="H78" s="49"/>
      <c r="I78" s="49"/>
      <c r="J78" s="50">
        <f t="shared" si="19"/>
        <v>0</v>
      </c>
      <c r="K78" s="49"/>
      <c r="L78" s="49"/>
      <c r="M78" s="49"/>
      <c r="N78" s="49"/>
      <c r="O78" s="49"/>
      <c r="P78" s="49"/>
      <c r="Q78" s="51">
        <f t="shared" si="20"/>
        <v>0</v>
      </c>
      <c r="R78" s="49"/>
      <c r="S78" s="49"/>
      <c r="T78" s="51">
        <f t="shared" si="33"/>
        <v>0</v>
      </c>
      <c r="U78" s="49"/>
      <c r="V78" s="49"/>
      <c r="W78" s="51">
        <f t="shared" si="21"/>
        <v>0</v>
      </c>
      <c r="X78" s="52"/>
      <c r="Y78" s="53">
        <f t="shared" si="23"/>
        <v>0</v>
      </c>
      <c r="Z78" s="53">
        <f t="shared" si="24"/>
        <v>0</v>
      </c>
      <c r="AA78" s="53">
        <f t="shared" si="25"/>
        <v>0</v>
      </c>
      <c r="AB78" s="53">
        <f t="shared" si="26"/>
        <v>0</v>
      </c>
      <c r="AC78" s="51">
        <f t="shared" si="27"/>
        <v>0</v>
      </c>
      <c r="AD78" s="51">
        <f t="shared" si="18"/>
        <v>12</v>
      </c>
      <c r="AE78" s="54" t="str">
        <f t="shared" si="28"/>
        <v>F</v>
      </c>
      <c r="AF78" s="54">
        <f t="shared" si="31"/>
        <v>0</v>
      </c>
      <c r="AG78" s="106" t="s">
        <v>35</v>
      </c>
      <c r="AH78" s="107"/>
      <c r="AI78" s="106"/>
      <c r="AJ78" s="107"/>
      <c r="AK78" s="55" t="str">
        <f t="shared" si="29"/>
        <v>차시예정</v>
      </c>
      <c r="AL78" s="55" t="str">
        <f t="shared" si="30"/>
        <v>-</v>
      </c>
      <c r="AM78" s="55" t="str">
        <f t="shared" si="34"/>
        <v>차시예정</v>
      </c>
      <c r="AN78" s="57"/>
      <c r="AO78" s="57"/>
      <c r="AP78" s="57"/>
      <c r="AQ78" s="54">
        <f t="shared" si="32"/>
        <v>2</v>
      </c>
      <c r="AR78" s="56"/>
      <c r="AS78" s="56"/>
    </row>
    <row r="79" spans="1:48" ht="24.95" customHeight="1" x14ac:dyDescent="0.3">
      <c r="A79" s="119"/>
      <c r="B79" s="21"/>
      <c r="C79" s="49" t="s">
        <v>134</v>
      </c>
      <c r="D79" s="49"/>
      <c r="E79" s="49"/>
      <c r="F79" s="49"/>
      <c r="G79" s="49"/>
      <c r="H79" s="49"/>
      <c r="I79" s="49"/>
      <c r="J79" s="50">
        <f t="shared" si="19"/>
        <v>0</v>
      </c>
      <c r="K79" s="49"/>
      <c r="L79" s="49"/>
      <c r="M79" s="49"/>
      <c r="N79" s="49"/>
      <c r="O79" s="49"/>
      <c r="P79" s="49"/>
      <c r="Q79" s="51">
        <f t="shared" si="20"/>
        <v>0</v>
      </c>
      <c r="R79" s="49"/>
      <c r="S79" s="49"/>
      <c r="T79" s="51">
        <f t="shared" si="33"/>
        <v>0</v>
      </c>
      <c r="U79" s="49"/>
      <c r="V79" s="49"/>
      <c r="W79" s="51">
        <f t="shared" si="21"/>
        <v>0</v>
      </c>
      <c r="X79" s="52"/>
      <c r="Y79" s="53">
        <f t="shared" si="23"/>
        <v>0</v>
      </c>
      <c r="Z79" s="53">
        <f t="shared" si="24"/>
        <v>0</v>
      </c>
      <c r="AA79" s="53">
        <f t="shared" si="25"/>
        <v>0</v>
      </c>
      <c r="AB79" s="53">
        <f t="shared" si="26"/>
        <v>0</v>
      </c>
      <c r="AC79" s="51">
        <f t="shared" si="27"/>
        <v>0</v>
      </c>
      <c r="AD79" s="51">
        <f t="shared" si="18"/>
        <v>12</v>
      </c>
      <c r="AE79" s="54" t="str">
        <f t="shared" si="28"/>
        <v>F</v>
      </c>
      <c r="AF79" s="54">
        <f t="shared" si="31"/>
        <v>0</v>
      </c>
      <c r="AG79" s="106" t="s">
        <v>35</v>
      </c>
      <c r="AH79" s="107"/>
      <c r="AI79" s="106"/>
      <c r="AJ79" s="107"/>
      <c r="AK79" s="55" t="str">
        <f t="shared" si="29"/>
        <v>차시예정</v>
      </c>
      <c r="AL79" s="55" t="str">
        <f t="shared" si="30"/>
        <v>-</v>
      </c>
      <c r="AM79" s="55" t="str">
        <f t="shared" si="34"/>
        <v>차시예정</v>
      </c>
      <c r="AN79" s="57"/>
      <c r="AO79" s="57"/>
      <c r="AP79" s="57"/>
      <c r="AQ79" s="54">
        <f t="shared" si="32"/>
        <v>2</v>
      </c>
      <c r="AR79" s="56"/>
      <c r="AS79" s="56"/>
    </row>
    <row r="80" spans="1:48" ht="24.95" customHeight="1" x14ac:dyDescent="0.3">
      <c r="A80" s="119"/>
      <c r="B80" s="21"/>
      <c r="C80" s="49" t="s">
        <v>135</v>
      </c>
      <c r="D80" s="49"/>
      <c r="E80" s="49"/>
      <c r="F80" s="49"/>
      <c r="G80" s="49"/>
      <c r="H80" s="49"/>
      <c r="I80" s="49"/>
      <c r="J80" s="50">
        <f t="shared" si="19"/>
        <v>0</v>
      </c>
      <c r="K80" s="49"/>
      <c r="L80" s="49"/>
      <c r="M80" s="49"/>
      <c r="N80" s="49"/>
      <c r="O80" s="49"/>
      <c r="P80" s="49"/>
      <c r="Q80" s="51">
        <f t="shared" si="20"/>
        <v>0</v>
      </c>
      <c r="R80" s="49"/>
      <c r="S80" s="49"/>
      <c r="T80" s="51">
        <f t="shared" si="33"/>
        <v>0</v>
      </c>
      <c r="U80" s="49"/>
      <c r="V80" s="49"/>
      <c r="W80" s="51">
        <f t="shared" si="21"/>
        <v>0</v>
      </c>
      <c r="X80" s="52"/>
      <c r="Y80" s="53">
        <f t="shared" si="23"/>
        <v>0</v>
      </c>
      <c r="Z80" s="53">
        <f t="shared" si="24"/>
        <v>0</v>
      </c>
      <c r="AA80" s="53">
        <f t="shared" si="25"/>
        <v>0</v>
      </c>
      <c r="AB80" s="53">
        <f t="shared" si="26"/>
        <v>0</v>
      </c>
      <c r="AC80" s="51">
        <f t="shared" si="27"/>
        <v>0</v>
      </c>
      <c r="AD80" s="51">
        <f t="shared" si="18"/>
        <v>12</v>
      </c>
      <c r="AE80" s="54" t="str">
        <f t="shared" si="28"/>
        <v>F</v>
      </c>
      <c r="AF80" s="54">
        <f t="shared" si="31"/>
        <v>0</v>
      </c>
      <c r="AG80" s="106" t="s">
        <v>136</v>
      </c>
      <c r="AH80" s="107"/>
      <c r="AI80" s="106"/>
      <c r="AJ80" s="107"/>
      <c r="AK80" s="55" t="str">
        <f t="shared" si="29"/>
        <v>차시예정</v>
      </c>
      <c r="AL80" s="55" t="str">
        <f t="shared" si="30"/>
        <v>-</v>
      </c>
      <c r="AM80" s="55" t="str">
        <f t="shared" si="34"/>
        <v>차시예정</v>
      </c>
      <c r="AN80" s="57"/>
      <c r="AO80" s="57"/>
      <c r="AP80" s="57"/>
      <c r="AQ80" s="54">
        <f t="shared" si="32"/>
        <v>2</v>
      </c>
      <c r="AR80" s="56"/>
      <c r="AS80" s="56"/>
    </row>
    <row r="81" spans="1:47" ht="24.95" customHeight="1" x14ac:dyDescent="0.3">
      <c r="A81" s="119"/>
      <c r="B81" s="21"/>
      <c r="C81" s="49" t="s">
        <v>134</v>
      </c>
      <c r="D81" s="49"/>
      <c r="E81" s="49"/>
      <c r="F81" s="49"/>
      <c r="G81" s="49"/>
      <c r="H81" s="49"/>
      <c r="I81" s="49"/>
      <c r="J81" s="50">
        <f t="shared" si="19"/>
        <v>0</v>
      </c>
      <c r="K81" s="49"/>
      <c r="L81" s="49"/>
      <c r="M81" s="49"/>
      <c r="N81" s="49"/>
      <c r="O81" s="49"/>
      <c r="P81" s="49"/>
      <c r="Q81" s="51">
        <f t="shared" si="20"/>
        <v>0</v>
      </c>
      <c r="R81" s="49"/>
      <c r="S81" s="49"/>
      <c r="T81" s="51">
        <f t="shared" si="33"/>
        <v>0</v>
      </c>
      <c r="U81" s="49"/>
      <c r="V81" s="49"/>
      <c r="W81" s="51">
        <f t="shared" si="21"/>
        <v>0</v>
      </c>
      <c r="X81" s="52"/>
      <c r="Y81" s="53">
        <f t="shared" si="23"/>
        <v>0</v>
      </c>
      <c r="Z81" s="53">
        <f t="shared" si="24"/>
        <v>0</v>
      </c>
      <c r="AA81" s="53">
        <f t="shared" si="25"/>
        <v>0</v>
      </c>
      <c r="AB81" s="53">
        <f t="shared" si="26"/>
        <v>0</v>
      </c>
      <c r="AC81" s="51">
        <f t="shared" si="27"/>
        <v>0</v>
      </c>
      <c r="AD81" s="51">
        <f t="shared" si="18"/>
        <v>12</v>
      </c>
      <c r="AE81" s="54" t="str">
        <f t="shared" si="28"/>
        <v>F</v>
      </c>
      <c r="AF81" s="54">
        <f t="shared" si="31"/>
        <v>0</v>
      </c>
      <c r="AG81" s="106" t="s">
        <v>35</v>
      </c>
      <c r="AH81" s="107"/>
      <c r="AI81" s="106"/>
      <c r="AJ81" s="107"/>
      <c r="AK81" s="55" t="str">
        <f t="shared" si="29"/>
        <v>차시예정</v>
      </c>
      <c r="AL81" s="55" t="str">
        <f t="shared" si="30"/>
        <v>-</v>
      </c>
      <c r="AM81" s="55" t="str">
        <f t="shared" si="34"/>
        <v>차시예정</v>
      </c>
      <c r="AN81" s="57"/>
      <c r="AO81" s="57"/>
      <c r="AP81" s="57"/>
      <c r="AQ81" s="54">
        <f t="shared" si="32"/>
        <v>2</v>
      </c>
      <c r="AR81" s="58"/>
      <c r="AS81" s="58"/>
      <c r="AT81" s="47"/>
    </row>
    <row r="82" spans="1:47" ht="37.5" customHeight="1" x14ac:dyDescent="0.3">
      <c r="A82" s="115" t="s">
        <v>137</v>
      </c>
      <c r="B82" s="116"/>
      <c r="C82" s="107"/>
      <c r="D82" s="117"/>
      <c r="E82" s="117"/>
      <c r="F82" s="117"/>
      <c r="G82" s="117"/>
      <c r="H82" s="117"/>
      <c r="I82" s="117"/>
      <c r="J82" s="1" t="s">
        <v>138</v>
      </c>
      <c r="K82" s="110" t="s">
        <v>139</v>
      </c>
      <c r="L82" s="117"/>
      <c r="M82" s="117"/>
      <c r="N82" s="117"/>
      <c r="O82" s="117"/>
      <c r="P82" s="117"/>
      <c r="Q82" s="1" t="s">
        <v>138</v>
      </c>
      <c r="R82" s="59" t="s">
        <v>140</v>
      </c>
      <c r="S82" s="59"/>
      <c r="T82" s="1" t="s">
        <v>138</v>
      </c>
      <c r="U82" s="110" t="s">
        <v>139</v>
      </c>
      <c r="V82" s="111"/>
      <c r="W82" s="1" t="s">
        <v>138</v>
      </c>
      <c r="X82" s="115" t="s">
        <v>141</v>
      </c>
      <c r="Y82" s="116"/>
      <c r="Z82" s="116"/>
      <c r="AA82" s="116"/>
      <c r="AB82" s="116"/>
      <c r="AC82" s="116"/>
      <c r="AD82" s="116"/>
      <c r="AE82" s="116"/>
      <c r="AF82" s="118"/>
      <c r="AG82" s="106"/>
      <c r="AH82" s="107"/>
      <c r="AI82" s="82" t="s">
        <v>142</v>
      </c>
      <c r="AJ82" s="83"/>
      <c r="AK82" s="110" t="s">
        <v>143</v>
      </c>
      <c r="AL82" s="117"/>
      <c r="AM82" s="105"/>
      <c r="AN82" s="110" t="s">
        <v>144</v>
      </c>
      <c r="AO82" s="111"/>
      <c r="AP82" s="112"/>
      <c r="AQ82" s="1" t="s">
        <v>145</v>
      </c>
      <c r="AR82" s="113" t="s">
        <v>146</v>
      </c>
      <c r="AS82" s="114"/>
      <c r="AT82" s="60"/>
      <c r="AU82" s="60"/>
    </row>
    <row r="83" spans="1:47" x14ac:dyDescent="0.3">
      <c r="A83" s="61"/>
      <c r="B83" s="61"/>
      <c r="C83" s="62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3"/>
      <c r="AC83" s="63"/>
      <c r="AD83" s="63"/>
      <c r="AE83" s="64"/>
      <c r="AF83" s="64"/>
      <c r="AG83" s="65"/>
      <c r="AH83" s="66"/>
      <c r="AI83" s="104"/>
      <c r="AJ83" s="105"/>
      <c r="AK83" s="64"/>
      <c r="AL83" s="64"/>
      <c r="AM83" s="64"/>
      <c r="AN83" s="64"/>
      <c r="AO83" s="64"/>
      <c r="AP83" s="64"/>
      <c r="AQ83" s="64"/>
      <c r="AR83" s="67"/>
      <c r="AS83" s="68"/>
      <c r="AT83" s="60"/>
      <c r="AU83" s="60"/>
    </row>
    <row r="84" spans="1:47" x14ac:dyDescent="0.3">
      <c r="AB84" s="71"/>
      <c r="AC84" s="71"/>
      <c r="AD84" s="71"/>
      <c r="AE84" s="72"/>
      <c r="AF84" s="72"/>
      <c r="AG84" s="65"/>
      <c r="AH84" s="66"/>
      <c r="AI84" s="104"/>
      <c r="AJ84" s="105"/>
      <c r="AK84" s="72"/>
      <c r="AL84" s="72"/>
      <c r="AM84" s="72"/>
      <c r="AN84" s="72"/>
      <c r="AO84" s="72"/>
      <c r="AP84" s="72"/>
      <c r="AR84" s="67"/>
      <c r="AS84" s="68"/>
      <c r="AT84" s="60"/>
      <c r="AU84" s="60"/>
    </row>
    <row r="85" spans="1:47" x14ac:dyDescent="0.3">
      <c r="AB85" s="71"/>
      <c r="AC85" s="71"/>
      <c r="AD85" s="71"/>
      <c r="AE85" s="72"/>
      <c r="AF85" s="72"/>
      <c r="AG85" s="65"/>
      <c r="AH85" s="66"/>
      <c r="AI85" s="5"/>
      <c r="AJ85" s="5"/>
      <c r="AK85" s="72"/>
      <c r="AL85" s="72"/>
      <c r="AM85" s="72"/>
      <c r="AN85" s="72"/>
      <c r="AO85" s="72"/>
      <c r="AP85" s="72"/>
      <c r="AR85" s="67"/>
      <c r="AS85" s="68"/>
      <c r="AT85" s="60"/>
      <c r="AU85" s="60"/>
    </row>
    <row r="86" spans="1:47" x14ac:dyDescent="0.3">
      <c r="AB86" s="71"/>
      <c r="AC86" s="71"/>
      <c r="AD86" s="71"/>
      <c r="AE86" s="72"/>
      <c r="AF86" s="72"/>
      <c r="AG86" s="65"/>
      <c r="AH86" s="66"/>
      <c r="AI86" s="64"/>
      <c r="AJ86" s="64"/>
      <c r="AK86" s="72"/>
      <c r="AL86" s="72"/>
      <c r="AM86" s="72"/>
      <c r="AN86" s="72"/>
      <c r="AO86" s="72"/>
      <c r="AP86" s="72"/>
      <c r="AR86" s="67"/>
      <c r="AS86" s="68"/>
      <c r="AT86" s="60"/>
      <c r="AU86" s="60"/>
    </row>
    <row r="87" spans="1:47" x14ac:dyDescent="0.3">
      <c r="AB87" s="71"/>
      <c r="AC87" s="71"/>
      <c r="AD87" s="71"/>
      <c r="AE87" s="72"/>
      <c r="AF87" s="72"/>
      <c r="AG87" s="65"/>
      <c r="AH87" s="66"/>
      <c r="AI87" s="72"/>
      <c r="AJ87" s="72"/>
      <c r="AK87" s="72"/>
      <c r="AL87" s="72"/>
      <c r="AM87" s="72"/>
      <c r="AN87" s="72"/>
      <c r="AO87" s="72"/>
      <c r="AP87" s="72"/>
      <c r="AR87" s="67"/>
      <c r="AS87" s="68"/>
      <c r="AT87" s="60"/>
      <c r="AU87" s="60"/>
    </row>
    <row r="88" spans="1:47" x14ac:dyDescent="0.3">
      <c r="AG88" s="65"/>
      <c r="AH88" s="66"/>
      <c r="AI88" s="72"/>
      <c r="AJ88" s="72"/>
      <c r="AK88" s="72"/>
      <c r="AR88" s="67"/>
      <c r="AS88" s="68"/>
      <c r="AT88" s="60"/>
      <c r="AU88" s="60"/>
    </row>
    <row r="89" spans="1:47" x14ac:dyDescent="0.3">
      <c r="AG89" s="65"/>
      <c r="AH89" s="66"/>
      <c r="AI89" s="72"/>
      <c r="AJ89" s="72"/>
      <c r="AR89" s="67"/>
      <c r="AS89" s="68"/>
      <c r="AT89" s="60"/>
      <c r="AU89" s="60"/>
    </row>
    <row r="90" spans="1:47" x14ac:dyDescent="0.3">
      <c r="AG90" s="65"/>
      <c r="AH90" s="66"/>
      <c r="AI90" s="72"/>
      <c r="AJ90" s="72"/>
      <c r="AR90" s="67"/>
      <c r="AS90" s="68"/>
      <c r="AT90" s="60"/>
      <c r="AU90" s="60"/>
    </row>
    <row r="91" spans="1:47" x14ac:dyDescent="0.3">
      <c r="AG91" s="65"/>
      <c r="AH91" s="66"/>
      <c r="AR91" s="67"/>
      <c r="AS91" s="68"/>
      <c r="AT91" s="60"/>
      <c r="AU91" s="60"/>
    </row>
    <row r="92" spans="1:47" x14ac:dyDescent="0.3">
      <c r="AG92" s="65"/>
      <c r="AH92" s="66"/>
      <c r="AR92" s="67"/>
      <c r="AS92" s="68"/>
      <c r="AT92" s="60"/>
      <c r="AU92" s="60"/>
    </row>
    <row r="93" spans="1:47" x14ac:dyDescent="0.3">
      <c r="AG93" s="65"/>
      <c r="AH93" s="66"/>
      <c r="AR93" s="67"/>
      <c r="AS93" s="68"/>
      <c r="AT93" s="60"/>
      <c r="AU93" s="60"/>
    </row>
    <row r="94" spans="1:47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65"/>
      <c r="AH94" s="66"/>
      <c r="AK94" s="5"/>
      <c r="AL94" s="5"/>
      <c r="AM94" s="5"/>
      <c r="AN94" s="5"/>
      <c r="AO94" s="5"/>
      <c r="AP94" s="5"/>
      <c r="AQ94" s="73"/>
      <c r="AR94" s="67"/>
      <c r="AS94" s="68"/>
      <c r="AT94" s="60"/>
      <c r="AU94" s="60"/>
    </row>
    <row r="95" spans="1:47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65"/>
      <c r="AH95" s="66"/>
      <c r="AK95" s="5"/>
      <c r="AL95" s="5"/>
      <c r="AM95" s="5"/>
      <c r="AN95" s="5"/>
      <c r="AO95" s="5"/>
      <c r="AP95" s="5"/>
      <c r="AQ95" s="73"/>
      <c r="AR95" s="67"/>
      <c r="AS95" s="68"/>
      <c r="AT95" s="60"/>
      <c r="AU95" s="60"/>
    </row>
    <row r="96" spans="1:47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65"/>
      <c r="AH96" s="66"/>
      <c r="AK96" s="5"/>
      <c r="AL96" s="5"/>
      <c r="AM96" s="5"/>
      <c r="AN96" s="5"/>
      <c r="AO96" s="5"/>
      <c r="AP96" s="5"/>
      <c r="AQ96" s="73"/>
      <c r="AR96" s="74"/>
      <c r="AS96" s="75"/>
      <c r="AT96" s="60"/>
      <c r="AU96" s="60"/>
    </row>
    <row r="97" spans="1:47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65"/>
      <c r="AH97" s="66"/>
      <c r="AI97" s="5"/>
      <c r="AJ97" s="5"/>
      <c r="AK97" s="5"/>
      <c r="AL97" s="5"/>
      <c r="AM97" s="5"/>
      <c r="AN97" s="5"/>
      <c r="AO97" s="5"/>
      <c r="AP97" s="5"/>
      <c r="AQ97" s="73"/>
      <c r="AR97" s="74"/>
      <c r="AS97" s="75"/>
      <c r="AT97" s="60"/>
      <c r="AU97" s="60"/>
    </row>
    <row r="98" spans="1:47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65"/>
      <c r="AH98" s="66"/>
      <c r="AI98" s="5"/>
      <c r="AJ98" s="5"/>
      <c r="AK98" s="5"/>
      <c r="AL98" s="5"/>
      <c r="AM98" s="5"/>
      <c r="AN98" s="5"/>
      <c r="AO98" s="5"/>
      <c r="AP98" s="5"/>
      <c r="AQ98" s="73"/>
      <c r="AR98" s="74"/>
      <c r="AS98" s="75"/>
      <c r="AT98" s="60"/>
      <c r="AU98" s="60"/>
    </row>
    <row r="99" spans="1:47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65"/>
      <c r="AH99" s="66"/>
      <c r="AI99" s="5"/>
      <c r="AJ99" s="5"/>
      <c r="AK99" s="5"/>
      <c r="AL99" s="5"/>
      <c r="AM99" s="5"/>
      <c r="AN99" s="5"/>
      <c r="AO99" s="5"/>
      <c r="AP99" s="5"/>
      <c r="AQ99" s="73"/>
      <c r="AR99" s="74"/>
      <c r="AS99" s="75"/>
      <c r="AT99" s="60"/>
      <c r="AU99" s="60"/>
    </row>
    <row r="100" spans="1:47" x14ac:dyDescent="0.3">
      <c r="AG100" s="65"/>
      <c r="AH100" s="66"/>
      <c r="AI100" s="5"/>
      <c r="AJ100" s="5"/>
    </row>
    <row r="101" spans="1:47" x14ac:dyDescent="0.3">
      <c r="AG101" s="65"/>
      <c r="AH101" s="66"/>
      <c r="AI101" s="5"/>
      <c r="AJ101" s="5"/>
    </row>
    <row r="102" spans="1:47" x14ac:dyDescent="0.3">
      <c r="AG102" s="65"/>
      <c r="AH102" s="66"/>
      <c r="AI102" s="5"/>
      <c r="AJ102" s="5"/>
    </row>
    <row r="103" spans="1:47" x14ac:dyDescent="0.3">
      <c r="AG103" s="65"/>
      <c r="AH103" s="66"/>
    </row>
    <row r="104" spans="1:47" x14ac:dyDescent="0.3">
      <c r="AG104" s="65"/>
      <c r="AH104" s="66"/>
    </row>
    <row r="105" spans="1:47" x14ac:dyDescent="0.3">
      <c r="AG105" s="65"/>
      <c r="AH105" s="66"/>
    </row>
    <row r="106" spans="1:47" x14ac:dyDescent="0.3">
      <c r="AG106" s="65"/>
      <c r="AH106" s="66"/>
    </row>
    <row r="107" spans="1:47" x14ac:dyDescent="0.3">
      <c r="AG107" s="106" t="s">
        <v>35</v>
      </c>
      <c r="AH107" s="107"/>
    </row>
    <row r="108" spans="1:47" x14ac:dyDescent="0.3">
      <c r="AG108" s="106" t="s">
        <v>35</v>
      </c>
      <c r="AH108" s="107"/>
    </row>
    <row r="109" spans="1:47" x14ac:dyDescent="0.3">
      <c r="AG109" s="106" t="s">
        <v>35</v>
      </c>
      <c r="AH109" s="107"/>
    </row>
    <row r="110" spans="1:47" x14ac:dyDescent="0.3">
      <c r="AG110" s="106" t="s">
        <v>147</v>
      </c>
      <c r="AH110" s="107"/>
    </row>
    <row r="111" spans="1:47" x14ac:dyDescent="0.3">
      <c r="AG111" s="106" t="s">
        <v>35</v>
      </c>
      <c r="AH111" s="107"/>
    </row>
    <row r="112" spans="1:47" x14ac:dyDescent="0.3">
      <c r="AG112" s="106" t="s">
        <v>35</v>
      </c>
      <c r="AH112" s="107"/>
    </row>
    <row r="113" spans="33:34" x14ac:dyDescent="0.3">
      <c r="AG113" s="106" t="s">
        <v>35</v>
      </c>
      <c r="AH113" s="107"/>
    </row>
    <row r="114" spans="33:34" x14ac:dyDescent="0.3">
      <c r="AG114" s="106" t="s">
        <v>35</v>
      </c>
      <c r="AH114" s="107"/>
    </row>
    <row r="115" spans="33:34" x14ac:dyDescent="0.3">
      <c r="AG115" s="106" t="s">
        <v>35</v>
      </c>
      <c r="AH115" s="107"/>
    </row>
    <row r="116" spans="33:34" x14ac:dyDescent="0.3">
      <c r="AG116" s="6"/>
      <c r="AH116" s="6"/>
    </row>
    <row r="117" spans="33:34" x14ac:dyDescent="0.3">
      <c r="AG117" s="64"/>
      <c r="AH117" s="64"/>
    </row>
    <row r="118" spans="33:34" x14ac:dyDescent="0.3">
      <c r="AG118" s="72"/>
      <c r="AH118" s="72"/>
    </row>
    <row r="119" spans="33:34" x14ac:dyDescent="0.3">
      <c r="AG119" s="72"/>
      <c r="AH119" s="72"/>
    </row>
    <row r="120" spans="33:34" x14ac:dyDescent="0.3">
      <c r="AG120" s="72"/>
      <c r="AH120" s="72"/>
    </row>
    <row r="121" spans="33:34" x14ac:dyDescent="0.3">
      <c r="AG121" s="72"/>
      <c r="AH121" s="72"/>
    </row>
    <row r="128" spans="33:34" x14ac:dyDescent="0.3">
      <c r="AG128" s="5"/>
      <c r="AH128" s="5"/>
    </row>
    <row r="129" spans="33:34" x14ac:dyDescent="0.3">
      <c r="AG129" s="5"/>
      <c r="AH129" s="5"/>
    </row>
    <row r="130" spans="33:34" x14ac:dyDescent="0.3">
      <c r="AG130" s="5"/>
      <c r="AH130" s="5"/>
    </row>
    <row r="131" spans="33:34" x14ac:dyDescent="0.3">
      <c r="AG131" s="5"/>
      <c r="AH131" s="5"/>
    </row>
    <row r="132" spans="33:34" x14ac:dyDescent="0.3">
      <c r="AG132" s="5"/>
      <c r="AH132" s="5"/>
    </row>
    <row r="133" spans="33:34" x14ac:dyDescent="0.3">
      <c r="AG133" s="5"/>
      <c r="AH133" s="5"/>
    </row>
  </sheetData>
  <mergeCells count="198">
    <mergeCell ref="AG114:AH114"/>
    <mergeCell ref="AG115:AH115"/>
    <mergeCell ref="AG108:AH108"/>
    <mergeCell ref="AG109:AH109"/>
    <mergeCell ref="AG110:AH110"/>
    <mergeCell ref="AG111:AH111"/>
    <mergeCell ref="AG112:AH112"/>
    <mergeCell ref="AG113:AH113"/>
    <mergeCell ref="AK82:AM82"/>
    <mergeCell ref="AN82:AP82"/>
    <mergeCell ref="AR82:AS82"/>
    <mergeCell ref="AI83:AJ83"/>
    <mergeCell ref="AI84:AJ84"/>
    <mergeCell ref="AG107:AH107"/>
    <mergeCell ref="AG81:AH81"/>
    <mergeCell ref="AI81:AJ81"/>
    <mergeCell ref="A82:C82"/>
    <mergeCell ref="D82:I82"/>
    <mergeCell ref="K82:P82"/>
    <mergeCell ref="U82:V82"/>
    <mergeCell ref="X82:AF82"/>
    <mergeCell ref="AG82:AH82"/>
    <mergeCell ref="AI82:AJ82"/>
    <mergeCell ref="A4:A81"/>
    <mergeCell ref="AG4:AH4"/>
    <mergeCell ref="AI4:AJ4"/>
    <mergeCell ref="AG5:AH5"/>
    <mergeCell ref="AI5:AJ5"/>
    <mergeCell ref="AG6:AH6"/>
    <mergeCell ref="AI6:AJ6"/>
    <mergeCell ref="AG7:AH7"/>
    <mergeCell ref="AI7:AJ7"/>
    <mergeCell ref="AG78:AH78"/>
    <mergeCell ref="AI78:AJ78"/>
    <mergeCell ref="AG79:AH79"/>
    <mergeCell ref="AI79:AJ79"/>
    <mergeCell ref="AG80:AH80"/>
    <mergeCell ref="AI80:AJ80"/>
    <mergeCell ref="AG75:AH75"/>
    <mergeCell ref="AI75:AJ75"/>
    <mergeCell ref="AG76:AH76"/>
    <mergeCell ref="AI76:AJ76"/>
    <mergeCell ref="AG77:AH77"/>
    <mergeCell ref="AI77:AJ77"/>
    <mergeCell ref="AG72:AH72"/>
    <mergeCell ref="AI72:AJ72"/>
    <mergeCell ref="AG73:AH73"/>
    <mergeCell ref="AI73:AJ73"/>
    <mergeCell ref="AG74:AH74"/>
    <mergeCell ref="AI74:AJ74"/>
    <mergeCell ref="AG69:AH69"/>
    <mergeCell ref="AI69:AJ69"/>
    <mergeCell ref="AG70:AH70"/>
    <mergeCell ref="AI70:AJ70"/>
    <mergeCell ref="AG71:AH71"/>
    <mergeCell ref="AI71:AJ71"/>
    <mergeCell ref="AG66:AH66"/>
    <mergeCell ref="AI66:AJ66"/>
    <mergeCell ref="AG67:AH67"/>
    <mergeCell ref="AI67:AJ67"/>
    <mergeCell ref="AG68:AH68"/>
    <mergeCell ref="AI68:AJ68"/>
    <mergeCell ref="AG63:AH63"/>
    <mergeCell ref="AI63:AJ63"/>
    <mergeCell ref="AG64:AH64"/>
    <mergeCell ref="AI64:AJ64"/>
    <mergeCell ref="AG65:AH65"/>
    <mergeCell ref="AI65:AJ65"/>
    <mergeCell ref="AG60:AH60"/>
    <mergeCell ref="AI60:AJ60"/>
    <mergeCell ref="AG61:AH61"/>
    <mergeCell ref="AI61:AJ61"/>
    <mergeCell ref="AG62:AH62"/>
    <mergeCell ref="AI62:AJ62"/>
    <mergeCell ref="AG57:AH57"/>
    <mergeCell ref="AI57:AJ57"/>
    <mergeCell ref="AG58:AH58"/>
    <mergeCell ref="AI58:AJ58"/>
    <mergeCell ref="AG59:AH59"/>
    <mergeCell ref="AI59:AJ59"/>
    <mergeCell ref="AG54:AH54"/>
    <mergeCell ref="AI54:AJ54"/>
    <mergeCell ref="AG55:AH55"/>
    <mergeCell ref="AI55:AJ55"/>
    <mergeCell ref="AG56:AH56"/>
    <mergeCell ref="AI56:AJ56"/>
    <mergeCell ref="AG51:AH51"/>
    <mergeCell ref="AI51:AJ51"/>
    <mergeCell ref="AG52:AH52"/>
    <mergeCell ref="AI52:AJ52"/>
    <mergeCell ref="AG53:AH53"/>
    <mergeCell ref="AI53:AJ53"/>
    <mergeCell ref="AG48:AH48"/>
    <mergeCell ref="AI48:AJ48"/>
    <mergeCell ref="AG49:AH49"/>
    <mergeCell ref="AI49:AJ49"/>
    <mergeCell ref="AG50:AH50"/>
    <mergeCell ref="AI50:AJ50"/>
    <mergeCell ref="AG45:AH45"/>
    <mergeCell ref="AI45:AJ45"/>
    <mergeCell ref="AG46:AH46"/>
    <mergeCell ref="AI46:AJ46"/>
    <mergeCell ref="AG47:AH47"/>
    <mergeCell ref="AI47:AJ47"/>
    <mergeCell ref="AG42:AH42"/>
    <mergeCell ref="AI42:AJ42"/>
    <mergeCell ref="AG43:AH43"/>
    <mergeCell ref="AI43:AJ43"/>
    <mergeCell ref="AG44:AH44"/>
    <mergeCell ref="AI44:AJ44"/>
    <mergeCell ref="AG39:AH39"/>
    <mergeCell ref="AI39:AJ39"/>
    <mergeCell ref="AG40:AH40"/>
    <mergeCell ref="AI40:AJ40"/>
    <mergeCell ref="AG41:AH41"/>
    <mergeCell ref="AI41:AJ41"/>
    <mergeCell ref="AG36:AH36"/>
    <mergeCell ref="AI36:AJ36"/>
    <mergeCell ref="AG37:AH37"/>
    <mergeCell ref="AI37:AJ37"/>
    <mergeCell ref="AG38:AH38"/>
    <mergeCell ref="AI38:AJ38"/>
    <mergeCell ref="AG33:AH33"/>
    <mergeCell ref="AI33:AJ33"/>
    <mergeCell ref="AG34:AH34"/>
    <mergeCell ref="AI34:AJ34"/>
    <mergeCell ref="AG35:AH35"/>
    <mergeCell ref="AI35:AJ35"/>
    <mergeCell ref="AG30:AH30"/>
    <mergeCell ref="AI30:AJ30"/>
    <mergeCell ref="AG31:AH31"/>
    <mergeCell ref="AI31:AJ31"/>
    <mergeCell ref="AG32:AH32"/>
    <mergeCell ref="AI32:AJ32"/>
    <mergeCell ref="AG27:AH27"/>
    <mergeCell ref="AI27:AJ27"/>
    <mergeCell ref="AG28:AH28"/>
    <mergeCell ref="AI28:AJ28"/>
    <mergeCell ref="AG29:AH29"/>
    <mergeCell ref="AI29:AJ29"/>
    <mergeCell ref="AG24:AH24"/>
    <mergeCell ref="AI24:AJ24"/>
    <mergeCell ref="AG25:AH25"/>
    <mergeCell ref="AI25:AJ25"/>
    <mergeCell ref="AG26:AH26"/>
    <mergeCell ref="AI26:AJ26"/>
    <mergeCell ref="AG21:AH21"/>
    <mergeCell ref="AI21:AJ21"/>
    <mergeCell ref="AG22:AH22"/>
    <mergeCell ref="AI22:AJ22"/>
    <mergeCell ref="AG23:AH23"/>
    <mergeCell ref="AI23:AJ23"/>
    <mergeCell ref="AG18:AH18"/>
    <mergeCell ref="AI18:AJ18"/>
    <mergeCell ref="AG19:AH19"/>
    <mergeCell ref="AI19:AJ19"/>
    <mergeCell ref="AG20:AH20"/>
    <mergeCell ref="AI20:AJ20"/>
    <mergeCell ref="AG15:AH15"/>
    <mergeCell ref="AI15:AJ15"/>
    <mergeCell ref="AG16:AH16"/>
    <mergeCell ref="AI16:AJ16"/>
    <mergeCell ref="AG17:AH17"/>
    <mergeCell ref="AI17:AJ17"/>
    <mergeCell ref="AG12:AH12"/>
    <mergeCell ref="AI12:AJ12"/>
    <mergeCell ref="AG13:AH13"/>
    <mergeCell ref="AI13:AJ13"/>
    <mergeCell ref="AG14:AH14"/>
    <mergeCell ref="AI14:AJ14"/>
    <mergeCell ref="AI8:AJ8"/>
    <mergeCell ref="AG9:AH9"/>
    <mergeCell ref="AI9:AJ9"/>
    <mergeCell ref="AG10:AH10"/>
    <mergeCell ref="AI10:AJ10"/>
    <mergeCell ref="AG11:AH11"/>
    <mergeCell ref="AI11:AJ11"/>
    <mergeCell ref="AG8:AH8"/>
    <mergeCell ref="A1:A3"/>
    <mergeCell ref="C1:C3"/>
    <mergeCell ref="D1:W1"/>
    <mergeCell ref="X1:AB1"/>
    <mergeCell ref="AD1:AD3"/>
    <mergeCell ref="AE1:AF2"/>
    <mergeCell ref="AU1:AU2"/>
    <mergeCell ref="D2:J2"/>
    <mergeCell ref="K2:Q2"/>
    <mergeCell ref="R2:T2"/>
    <mergeCell ref="U2:W2"/>
    <mergeCell ref="AE3:AF3"/>
    <mergeCell ref="AG3:AH3"/>
    <mergeCell ref="AI3:AJ3"/>
    <mergeCell ref="AG1:AH2"/>
    <mergeCell ref="AI1:AJ2"/>
    <mergeCell ref="AK1:AM2"/>
    <mergeCell ref="AN1:AP2"/>
    <mergeCell ref="AQ1:AQ2"/>
    <mergeCell ref="AT1:AT2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33"/>
  <sheetViews>
    <sheetView tabSelected="1" zoomScale="85" zoomScaleNormal="85" workbookViewId="0">
      <selection activeCell="M6" sqref="M6"/>
    </sheetView>
  </sheetViews>
  <sheetFormatPr defaultRowHeight="12" x14ac:dyDescent="0.3"/>
  <cols>
    <col min="1" max="1" width="3.875" style="69" customWidth="1"/>
    <col min="2" max="2" width="3.875" style="69" hidden="1" customWidth="1"/>
    <col min="3" max="4" width="3.875" style="69" customWidth="1"/>
    <col min="5" max="5" width="4.875" style="70" bestFit="1" customWidth="1"/>
    <col min="6" max="6" width="3.25" style="69" customWidth="1"/>
    <col min="7" max="7" width="6" style="69" bestFit="1" customWidth="1"/>
    <col min="8" max="25" width="3.25" style="69" customWidth="1"/>
    <col min="26" max="26" width="3.625" style="69" customWidth="1"/>
    <col min="27" max="31" width="5.5" style="69" customWidth="1"/>
    <col min="32" max="32" width="4.875" style="69" bestFit="1" customWidth="1"/>
    <col min="33" max="33" width="3.625" style="70" customWidth="1"/>
    <col min="34" max="34" width="2" style="70" customWidth="1"/>
    <col min="35" max="36" width="2.75" style="70" hidden="1" customWidth="1"/>
    <col min="37" max="37" width="4" style="70" customWidth="1"/>
    <col min="38" max="40" width="1.75" style="70" customWidth="1"/>
    <col min="41" max="41" width="3.5" style="70" customWidth="1"/>
    <col min="42" max="42" width="3.75" style="70" customWidth="1"/>
    <col min="43" max="46" width="3.5" style="70" customWidth="1"/>
    <col min="47" max="47" width="6.625" style="72" bestFit="1" customWidth="1"/>
    <col min="48" max="48" width="5.75" style="70" customWidth="1"/>
    <col min="49" max="49" width="5" style="69" customWidth="1"/>
    <col min="50" max="50" width="8.125" style="20" customWidth="1"/>
    <col min="51" max="51" width="6.625" style="20" customWidth="1"/>
    <col min="52" max="59" width="6.625" style="5" customWidth="1"/>
    <col min="60" max="16384" width="9" style="5"/>
  </cols>
  <sheetData>
    <row r="1" spans="1:54" ht="15.75" customHeight="1" x14ac:dyDescent="0.3">
      <c r="A1" s="82"/>
      <c r="B1" s="1"/>
      <c r="C1" s="1"/>
      <c r="D1" s="1"/>
      <c r="E1" s="82" t="s">
        <v>162</v>
      </c>
      <c r="F1" s="85" t="s">
        <v>163</v>
      </c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 t="s">
        <v>164</v>
      </c>
      <c r="AA1" s="85"/>
      <c r="AB1" s="85"/>
      <c r="AC1" s="85"/>
      <c r="AD1" s="85"/>
      <c r="AE1" s="2" t="s">
        <v>165</v>
      </c>
      <c r="AF1" s="86" t="s">
        <v>166</v>
      </c>
      <c r="AG1" s="89"/>
      <c r="AH1" s="90"/>
      <c r="AI1" s="89"/>
      <c r="AJ1" s="90"/>
      <c r="AK1" s="83"/>
      <c r="AL1" s="83"/>
      <c r="AM1" s="6"/>
      <c r="AN1" s="6"/>
      <c r="AO1" s="96" t="s">
        <v>185</v>
      </c>
      <c r="AP1" s="96"/>
      <c r="AQ1" s="96"/>
      <c r="AR1" s="95" t="s">
        <v>184</v>
      </c>
      <c r="AS1" s="95"/>
      <c r="AT1" s="96"/>
      <c r="AU1" s="100" t="s">
        <v>183</v>
      </c>
      <c r="AV1" s="3"/>
      <c r="AW1" s="4"/>
      <c r="AX1" s="102"/>
      <c r="AY1" s="93"/>
      <c r="BB1" s="5" t="s">
        <v>192</v>
      </c>
    </row>
    <row r="2" spans="1:54" ht="29.25" customHeight="1" x14ac:dyDescent="0.3">
      <c r="A2" s="83"/>
      <c r="B2" s="6"/>
      <c r="C2" s="6"/>
      <c r="D2" s="6"/>
      <c r="E2" s="83"/>
      <c r="F2" s="95" t="s">
        <v>167</v>
      </c>
      <c r="G2" s="95"/>
      <c r="H2" s="95"/>
      <c r="I2" s="95"/>
      <c r="J2" s="95"/>
      <c r="K2" s="95"/>
      <c r="L2" s="96"/>
      <c r="M2" s="95" t="s">
        <v>168</v>
      </c>
      <c r="N2" s="95"/>
      <c r="O2" s="95"/>
      <c r="P2" s="95"/>
      <c r="Q2" s="95"/>
      <c r="R2" s="95"/>
      <c r="S2" s="95"/>
      <c r="T2" s="95" t="s">
        <v>169</v>
      </c>
      <c r="U2" s="95"/>
      <c r="V2" s="95"/>
      <c r="W2" s="96" t="s">
        <v>170</v>
      </c>
      <c r="X2" s="96"/>
      <c r="Y2" s="96"/>
      <c r="Z2" s="7" t="s">
        <v>171</v>
      </c>
      <c r="AA2" s="7" t="s">
        <v>172</v>
      </c>
      <c r="AB2" s="7" t="s">
        <v>173</v>
      </c>
      <c r="AC2" s="7" t="s">
        <v>174</v>
      </c>
      <c r="AD2" s="8" t="s">
        <v>175</v>
      </c>
      <c r="AE2" s="9">
        <v>10.6</v>
      </c>
      <c r="AF2" s="87"/>
      <c r="AG2" s="91"/>
      <c r="AH2" s="92"/>
      <c r="AI2" s="91"/>
      <c r="AJ2" s="92"/>
      <c r="AK2" s="83"/>
      <c r="AL2" s="83"/>
      <c r="AM2" s="6"/>
      <c r="AN2" s="6"/>
      <c r="AO2" s="96"/>
      <c r="AP2" s="96"/>
      <c r="AQ2" s="96"/>
      <c r="AR2" s="96"/>
      <c r="AS2" s="96"/>
      <c r="AT2" s="96"/>
      <c r="AU2" s="101"/>
      <c r="AV2" s="10"/>
      <c r="AW2" s="11"/>
      <c r="AX2" s="103"/>
      <c r="AY2" s="94"/>
    </row>
    <row r="3" spans="1:54" ht="30" customHeight="1" thickBot="1" x14ac:dyDescent="0.35">
      <c r="A3" s="84"/>
      <c r="B3" s="12"/>
      <c r="C3" s="12"/>
      <c r="D3" s="12"/>
      <c r="E3" s="84"/>
      <c r="F3" s="12">
        <v>1</v>
      </c>
      <c r="G3" s="13">
        <v>6</v>
      </c>
      <c r="H3" s="13">
        <v>13</v>
      </c>
      <c r="I3" s="13">
        <v>14</v>
      </c>
      <c r="J3" s="13">
        <v>15</v>
      </c>
      <c r="K3" s="13">
        <v>16</v>
      </c>
      <c r="L3" s="14" t="s">
        <v>19</v>
      </c>
      <c r="M3" s="12">
        <v>2</v>
      </c>
      <c r="N3" s="12">
        <v>4</v>
      </c>
      <c r="O3" s="12">
        <v>7</v>
      </c>
      <c r="P3" s="12">
        <v>8</v>
      </c>
      <c r="Q3" s="12">
        <v>10</v>
      </c>
      <c r="R3" s="12">
        <v>11</v>
      </c>
      <c r="S3" s="14" t="s">
        <v>19</v>
      </c>
      <c r="T3" s="15">
        <v>5</v>
      </c>
      <c r="U3" s="15">
        <v>12</v>
      </c>
      <c r="V3" s="14" t="s">
        <v>19</v>
      </c>
      <c r="W3" s="15">
        <v>3</v>
      </c>
      <c r="X3" s="15">
        <v>9</v>
      </c>
      <c r="Y3" s="14" t="s">
        <v>19</v>
      </c>
      <c r="Z3" s="16" t="s">
        <v>20</v>
      </c>
      <c r="AA3" s="12">
        <f>COUNTIFS(F3:K3, "&lt;&gt;-", F3:K3, "&lt;&gt;"&amp;"")</f>
        <v>6</v>
      </c>
      <c r="AB3" s="12">
        <f>COUNTIFS(M3:R3, "&lt;&gt;-", M3:R3, "&lt;&gt;"&amp;"")</f>
        <v>6</v>
      </c>
      <c r="AC3" s="12">
        <f>COUNTIFS(T3:U3, "&lt;&gt;-", T3:U3, "&lt;&gt;"&amp;"")</f>
        <v>2</v>
      </c>
      <c r="AD3" s="12">
        <f>COUNTIFS(W3:X3, "&lt;&gt;-", W3:X3, "&lt;&gt;"&amp;"")</f>
        <v>2</v>
      </c>
      <c r="AE3" s="17">
        <f>SUM(AA3:AD3)</f>
        <v>16</v>
      </c>
      <c r="AF3" s="88"/>
      <c r="AG3" s="97" t="s">
        <v>176</v>
      </c>
      <c r="AH3" s="97"/>
      <c r="AI3" s="98" t="s">
        <v>22</v>
      </c>
      <c r="AJ3" s="99"/>
      <c r="AK3" s="97" t="s">
        <v>177</v>
      </c>
      <c r="AL3" s="97"/>
      <c r="AM3" s="17"/>
      <c r="AN3" s="17"/>
      <c r="AO3" s="18" t="s">
        <v>176</v>
      </c>
      <c r="AP3" s="18" t="s">
        <v>181</v>
      </c>
      <c r="AQ3" s="19" t="s">
        <v>178</v>
      </c>
      <c r="AR3" s="18" t="s">
        <v>179</v>
      </c>
      <c r="AS3" s="18" t="s">
        <v>174</v>
      </c>
      <c r="AT3" s="18" t="s">
        <v>180</v>
      </c>
      <c r="AU3" s="17" t="s">
        <v>182</v>
      </c>
      <c r="AV3" s="18"/>
      <c r="AW3" s="18"/>
    </row>
    <row r="4" spans="1:54" ht="24.95" hidden="1" customHeight="1" x14ac:dyDescent="0.3">
      <c r="A4" s="119" t="s">
        <v>186</v>
      </c>
      <c r="B4" s="21"/>
      <c r="C4" s="21" t="s">
        <v>187</v>
      </c>
      <c r="D4" s="21" t="s">
        <v>153</v>
      </c>
      <c r="E4" s="22" t="s">
        <v>191</v>
      </c>
      <c r="F4" s="23"/>
      <c r="G4" s="5"/>
      <c r="H4" s="23"/>
      <c r="I4" s="23"/>
      <c r="J4" s="23"/>
      <c r="K4" s="23"/>
      <c r="L4" s="24">
        <f t="shared" ref="L4:L51" si="0">SUM(F4:K4)</f>
        <v>0</v>
      </c>
      <c r="M4" s="23"/>
      <c r="N4" s="23"/>
      <c r="O4" s="23"/>
      <c r="P4" s="23"/>
      <c r="Q4" s="23"/>
      <c r="R4" s="23"/>
      <c r="S4" s="24">
        <f t="shared" ref="S4:S66" si="1">SUM(M4:R4)</f>
        <v>0</v>
      </c>
      <c r="T4" s="23"/>
      <c r="U4" s="23"/>
      <c r="V4" s="25">
        <f t="shared" ref="V4:V35" si="2">SUM(T4:U4)</f>
        <v>0</v>
      </c>
      <c r="W4" s="23"/>
      <c r="X4" s="23"/>
      <c r="Y4" s="24">
        <f t="shared" ref="Y4:Y66" si="3">SUM(W4:X4)</f>
        <v>0</v>
      </c>
      <c r="Z4" s="26"/>
      <c r="AA4" s="27">
        <f t="shared" ref="AA4:AA67" si="4">L4/$AA$3</f>
        <v>0</v>
      </c>
      <c r="AB4" s="27">
        <f t="shared" ref="AB4:AB67" si="5">S4/$AB$3</f>
        <v>0</v>
      </c>
      <c r="AC4" s="27">
        <f t="shared" ref="AC4:AC67" si="6">V4/$AC$3</f>
        <v>0</v>
      </c>
      <c r="AD4" s="27">
        <f t="shared" ref="AD4:AD67" si="7">Y4/$AD$3</f>
        <v>0</v>
      </c>
      <c r="AE4" s="28">
        <v>0</v>
      </c>
      <c r="AF4" s="23">
        <v>12</v>
      </c>
      <c r="AG4" s="29" t="str">
        <f t="shared" ref="AG4:AG67" si="8">IF(AE4&gt;=$AE$3*0.7, "P", "F")</f>
        <v>F</v>
      </c>
      <c r="AH4" s="29">
        <f>AE4</f>
        <v>0</v>
      </c>
      <c r="AI4" s="120" t="s">
        <v>35</v>
      </c>
      <c r="AJ4" s="121"/>
      <c r="AK4" s="120"/>
      <c r="AL4" s="121"/>
      <c r="AM4" s="77"/>
      <c r="AN4" s="77"/>
      <c r="AO4" s="30" t="str">
        <f t="shared" ref="AO4:AO35" si="9">IF(AG4="P", "-","차시예정")</f>
        <v>차시예정</v>
      </c>
      <c r="AP4" s="30" t="str">
        <f t="shared" ref="AP4:AP35" si="10">IF(AI4="P", "-","차시예정")</f>
        <v>-</v>
      </c>
      <c r="AQ4" s="30" t="str">
        <f>IF(AK4="P", "-","차시예정")</f>
        <v>차시예정</v>
      </c>
      <c r="AR4" s="31"/>
      <c r="AS4" s="31" t="s">
        <v>36</v>
      </c>
      <c r="AT4" s="31" t="s">
        <v>36</v>
      </c>
      <c r="AU4" s="29">
        <f t="shared" ref="AU4:AU68" si="11">COUNTIF(AO4:AT4, "차시예정")+COUNTIF(AO4:AT4, "X")</f>
        <v>4</v>
      </c>
      <c r="AV4" s="32"/>
      <c r="AW4" s="32"/>
      <c r="AX4" s="33"/>
      <c r="AZ4" s="34"/>
    </row>
    <row r="5" spans="1:54" ht="24.95" customHeight="1" x14ac:dyDescent="0.3">
      <c r="A5" s="119"/>
      <c r="B5" s="21"/>
      <c r="C5" s="80" t="s">
        <v>188</v>
      </c>
      <c r="D5" s="21" t="s">
        <v>154</v>
      </c>
      <c r="E5" s="35" t="s">
        <v>190</v>
      </c>
      <c r="F5" s="23"/>
      <c r="G5" s="23"/>
      <c r="H5" s="23"/>
      <c r="I5" s="23"/>
      <c r="J5" s="23"/>
      <c r="K5" s="23"/>
      <c r="L5" s="24">
        <f t="shared" si="0"/>
        <v>0</v>
      </c>
      <c r="M5" s="23"/>
      <c r="N5" s="23"/>
      <c r="O5" s="23"/>
      <c r="P5" s="23"/>
      <c r="Q5" s="23"/>
      <c r="R5" s="23"/>
      <c r="S5" s="25">
        <f t="shared" si="1"/>
        <v>0</v>
      </c>
      <c r="T5" s="23"/>
      <c r="U5" s="23"/>
      <c r="V5" s="25">
        <f t="shared" si="2"/>
        <v>0</v>
      </c>
      <c r="W5" s="23"/>
      <c r="X5" s="23"/>
      <c r="Y5" s="25">
        <f t="shared" si="3"/>
        <v>0</v>
      </c>
      <c r="Z5" s="36"/>
      <c r="AA5" s="37">
        <f t="shared" si="4"/>
        <v>0</v>
      </c>
      <c r="AB5" s="37">
        <f t="shared" si="5"/>
        <v>0</v>
      </c>
      <c r="AC5" s="37">
        <f t="shared" si="6"/>
        <v>0</v>
      </c>
      <c r="AD5" s="37">
        <f t="shared" si="7"/>
        <v>0</v>
      </c>
      <c r="AE5" s="28">
        <v>0</v>
      </c>
      <c r="AF5" s="28">
        <v>12</v>
      </c>
      <c r="AG5" s="29" t="str">
        <f t="shared" si="8"/>
        <v>F</v>
      </c>
      <c r="AH5" s="29">
        <f t="shared" ref="AH5:AH68" si="12">AE5</f>
        <v>0</v>
      </c>
      <c r="AI5" s="104" t="s">
        <v>41</v>
      </c>
      <c r="AJ5" s="105"/>
      <c r="AK5" s="104"/>
      <c r="AL5" s="105"/>
      <c r="AM5" s="77"/>
      <c r="AN5" s="77"/>
      <c r="AO5" s="30" t="str">
        <f t="shared" si="9"/>
        <v>차시예정</v>
      </c>
      <c r="AP5" s="30" t="str">
        <f t="shared" si="10"/>
        <v>-</v>
      </c>
      <c r="AQ5" s="30" t="str">
        <f t="shared" ref="AQ5:AQ9" si="13">IF(AK5="P", "-","차시예정")</f>
        <v>차시예정</v>
      </c>
      <c r="AR5" s="38"/>
      <c r="AS5" s="38"/>
      <c r="AT5" s="38"/>
      <c r="AU5" s="29">
        <f t="shared" si="11"/>
        <v>2</v>
      </c>
      <c r="AV5" s="39"/>
      <c r="AW5" s="40"/>
      <c r="AX5" s="33"/>
      <c r="AZ5" s="34"/>
    </row>
    <row r="6" spans="1:54" ht="24.95" customHeight="1" x14ac:dyDescent="0.3">
      <c r="A6" s="119"/>
      <c r="B6" s="21"/>
      <c r="C6" s="80" t="s">
        <v>189</v>
      </c>
      <c r="D6" s="21" t="s">
        <v>155</v>
      </c>
      <c r="E6" s="28" t="s">
        <v>190</v>
      </c>
      <c r="F6" s="41">
        <v>1</v>
      </c>
      <c r="G6" s="41">
        <v>1</v>
      </c>
      <c r="H6" s="41">
        <v>0</v>
      </c>
      <c r="I6" s="41">
        <v>1</v>
      </c>
      <c r="J6" s="41">
        <v>1</v>
      </c>
      <c r="K6" s="41">
        <v>1</v>
      </c>
      <c r="L6" s="24">
        <f t="shared" si="0"/>
        <v>5</v>
      </c>
      <c r="M6" s="41">
        <v>1</v>
      </c>
      <c r="N6" s="41">
        <v>1</v>
      </c>
      <c r="O6" s="41">
        <v>1</v>
      </c>
      <c r="P6" s="41">
        <v>1</v>
      </c>
      <c r="Q6" s="41">
        <v>1</v>
      </c>
      <c r="R6" s="41">
        <v>1</v>
      </c>
      <c r="S6" s="25">
        <f t="shared" si="1"/>
        <v>6</v>
      </c>
      <c r="T6" s="41">
        <v>1</v>
      </c>
      <c r="U6" s="41">
        <v>0</v>
      </c>
      <c r="V6" s="25">
        <f t="shared" si="2"/>
        <v>1</v>
      </c>
      <c r="W6" s="41">
        <v>1</v>
      </c>
      <c r="X6" s="41">
        <v>1</v>
      </c>
      <c r="Y6" s="25">
        <f t="shared" si="3"/>
        <v>2</v>
      </c>
      <c r="Z6" s="36"/>
      <c r="AA6" s="37">
        <f t="shared" si="4"/>
        <v>0.83333333333333337</v>
      </c>
      <c r="AB6" s="37">
        <f t="shared" si="5"/>
        <v>1</v>
      </c>
      <c r="AC6" s="37">
        <f t="shared" si="6"/>
        <v>0.5</v>
      </c>
      <c r="AD6" s="37">
        <f t="shared" si="7"/>
        <v>1</v>
      </c>
      <c r="AE6" s="28">
        <v>14</v>
      </c>
      <c r="AF6" s="28">
        <v>2</v>
      </c>
      <c r="AG6" s="29" t="str">
        <f t="shared" si="8"/>
        <v>P</v>
      </c>
      <c r="AH6" s="29">
        <f t="shared" si="12"/>
        <v>14</v>
      </c>
      <c r="AI6" s="104" t="s">
        <v>46</v>
      </c>
      <c r="AJ6" s="105"/>
      <c r="AK6" s="104" t="s">
        <v>41</v>
      </c>
      <c r="AL6" s="105"/>
      <c r="AM6" s="77"/>
      <c r="AN6" s="77"/>
      <c r="AO6" s="30" t="str">
        <f t="shared" si="9"/>
        <v>-</v>
      </c>
      <c r="AP6" s="30" t="str">
        <f t="shared" si="10"/>
        <v>-</v>
      </c>
      <c r="AQ6" s="30" t="str">
        <f t="shared" si="13"/>
        <v>-</v>
      </c>
      <c r="AR6" s="38"/>
      <c r="AS6" s="42"/>
      <c r="AT6" s="42" t="s">
        <v>47</v>
      </c>
      <c r="AU6" s="29">
        <f t="shared" si="11"/>
        <v>1</v>
      </c>
      <c r="AV6" s="39"/>
      <c r="AW6" s="40"/>
      <c r="AX6" s="33"/>
    </row>
    <row r="7" spans="1:54" ht="24.95" customHeight="1" x14ac:dyDescent="0.3">
      <c r="A7" s="119"/>
      <c r="B7" s="21"/>
      <c r="C7" s="80" t="s">
        <v>189</v>
      </c>
      <c r="D7" s="21" t="s">
        <v>156</v>
      </c>
      <c r="E7" s="28" t="s">
        <v>159</v>
      </c>
      <c r="F7" s="41"/>
      <c r="G7" s="41"/>
      <c r="H7" s="41"/>
      <c r="I7" s="41"/>
      <c r="J7" s="41"/>
      <c r="K7" s="41"/>
      <c r="L7" s="24">
        <f t="shared" si="0"/>
        <v>0</v>
      </c>
      <c r="M7" s="41"/>
      <c r="N7" s="41"/>
      <c r="O7" s="41"/>
      <c r="P7" s="41"/>
      <c r="Q7" s="41"/>
      <c r="R7" s="41"/>
      <c r="S7" s="25">
        <f t="shared" si="1"/>
        <v>0</v>
      </c>
      <c r="T7" s="41"/>
      <c r="U7" s="41"/>
      <c r="V7" s="25">
        <f t="shared" si="2"/>
        <v>0</v>
      </c>
      <c r="W7" s="41"/>
      <c r="X7" s="41"/>
      <c r="Y7" s="25">
        <f t="shared" si="3"/>
        <v>0</v>
      </c>
      <c r="Z7" s="36"/>
      <c r="AA7" s="37">
        <f t="shared" si="4"/>
        <v>0</v>
      </c>
      <c r="AB7" s="37">
        <f t="shared" si="5"/>
        <v>0</v>
      </c>
      <c r="AC7" s="37">
        <f t="shared" si="6"/>
        <v>0</v>
      </c>
      <c r="AD7" s="37">
        <f t="shared" si="7"/>
        <v>0</v>
      </c>
      <c r="AE7" s="28">
        <v>0</v>
      </c>
      <c r="AF7" s="28">
        <v>12</v>
      </c>
      <c r="AG7" s="29" t="str">
        <f t="shared" si="8"/>
        <v>F</v>
      </c>
      <c r="AH7" s="29">
        <f t="shared" si="12"/>
        <v>0</v>
      </c>
      <c r="AI7" s="104" t="s">
        <v>41</v>
      </c>
      <c r="AJ7" s="105"/>
      <c r="AK7" s="104"/>
      <c r="AL7" s="105"/>
      <c r="AM7" s="77"/>
      <c r="AN7" s="77"/>
      <c r="AO7" s="30" t="str">
        <f t="shared" si="9"/>
        <v>차시예정</v>
      </c>
      <c r="AP7" s="30" t="str">
        <f t="shared" si="10"/>
        <v>-</v>
      </c>
      <c r="AQ7" s="30" t="str">
        <f t="shared" si="13"/>
        <v>차시예정</v>
      </c>
      <c r="AR7" s="38"/>
      <c r="AS7" s="38"/>
      <c r="AT7" s="38"/>
      <c r="AU7" s="29">
        <f t="shared" si="11"/>
        <v>2</v>
      </c>
      <c r="AV7" s="39"/>
      <c r="AW7" s="40"/>
      <c r="AX7" s="33"/>
    </row>
    <row r="8" spans="1:54" ht="24.95" customHeight="1" x14ac:dyDescent="0.3">
      <c r="A8" s="119"/>
      <c r="B8" s="21"/>
      <c r="C8" s="80" t="s">
        <v>189</v>
      </c>
      <c r="D8" s="21" t="s">
        <v>157</v>
      </c>
      <c r="E8" s="43" t="s">
        <v>160</v>
      </c>
      <c r="F8" s="28"/>
      <c r="G8" s="28"/>
      <c r="H8" s="28"/>
      <c r="I8" s="28"/>
      <c r="J8" s="28"/>
      <c r="K8" s="28"/>
      <c r="L8" s="24">
        <f t="shared" si="0"/>
        <v>0</v>
      </c>
      <c r="M8" s="28"/>
      <c r="N8" s="28"/>
      <c r="O8" s="28"/>
      <c r="P8" s="28"/>
      <c r="Q8" s="28"/>
      <c r="R8" s="28"/>
      <c r="S8" s="25">
        <f t="shared" si="1"/>
        <v>0</v>
      </c>
      <c r="T8" s="28"/>
      <c r="U8" s="28"/>
      <c r="V8" s="25">
        <f t="shared" si="2"/>
        <v>0</v>
      </c>
      <c r="W8" s="28"/>
      <c r="X8" s="28"/>
      <c r="Y8" s="25">
        <f t="shared" si="3"/>
        <v>0</v>
      </c>
      <c r="Z8" s="36"/>
      <c r="AA8" s="37">
        <f t="shared" si="4"/>
        <v>0</v>
      </c>
      <c r="AB8" s="37">
        <f t="shared" si="5"/>
        <v>0</v>
      </c>
      <c r="AC8" s="37">
        <f t="shared" si="6"/>
        <v>0</v>
      </c>
      <c r="AD8" s="37">
        <f t="shared" si="7"/>
        <v>0</v>
      </c>
      <c r="AE8" s="28">
        <v>0</v>
      </c>
      <c r="AF8" s="28">
        <v>12</v>
      </c>
      <c r="AG8" s="29" t="str">
        <f t="shared" si="8"/>
        <v>F</v>
      </c>
      <c r="AH8" s="29">
        <f t="shared" si="12"/>
        <v>0</v>
      </c>
      <c r="AI8" s="104" t="s">
        <v>52</v>
      </c>
      <c r="AJ8" s="105"/>
      <c r="AK8" s="104"/>
      <c r="AL8" s="105"/>
      <c r="AM8" s="77"/>
      <c r="AN8" s="77"/>
      <c r="AO8" s="30" t="str">
        <f t="shared" si="9"/>
        <v>차시예정</v>
      </c>
      <c r="AP8" s="30" t="str">
        <f t="shared" si="10"/>
        <v>-</v>
      </c>
      <c r="AQ8" s="30" t="str">
        <f t="shared" si="13"/>
        <v>차시예정</v>
      </c>
      <c r="AR8" s="38"/>
      <c r="AS8" s="38"/>
      <c r="AT8" s="38"/>
      <c r="AU8" s="29">
        <f t="shared" si="11"/>
        <v>2</v>
      </c>
      <c r="AV8" s="42"/>
      <c r="AW8" s="44"/>
      <c r="AX8" s="33"/>
    </row>
    <row r="9" spans="1:54" ht="24.95" customHeight="1" x14ac:dyDescent="0.3">
      <c r="A9" s="119"/>
      <c r="B9" s="21"/>
      <c r="C9" s="80" t="s">
        <v>189</v>
      </c>
      <c r="D9" s="21" t="s">
        <v>158</v>
      </c>
      <c r="E9" s="28" t="s">
        <v>161</v>
      </c>
      <c r="F9" s="41"/>
      <c r="G9" s="41"/>
      <c r="H9" s="41"/>
      <c r="I9" s="41"/>
      <c r="J9" s="41"/>
      <c r="K9" s="41"/>
      <c r="L9" s="24">
        <f t="shared" si="0"/>
        <v>0</v>
      </c>
      <c r="M9" s="41"/>
      <c r="N9" s="41"/>
      <c r="O9" s="41"/>
      <c r="P9" s="41"/>
      <c r="Q9" s="41"/>
      <c r="R9" s="41"/>
      <c r="S9" s="25">
        <f t="shared" si="1"/>
        <v>0</v>
      </c>
      <c r="T9" s="41"/>
      <c r="U9" s="41"/>
      <c r="V9" s="25">
        <f t="shared" si="2"/>
        <v>0</v>
      </c>
      <c r="W9" s="41"/>
      <c r="X9" s="41"/>
      <c r="Y9" s="25">
        <f t="shared" si="3"/>
        <v>0</v>
      </c>
      <c r="Z9" s="36"/>
      <c r="AA9" s="37">
        <f t="shared" si="4"/>
        <v>0</v>
      </c>
      <c r="AB9" s="37">
        <f t="shared" si="5"/>
        <v>0</v>
      </c>
      <c r="AC9" s="37">
        <f t="shared" si="6"/>
        <v>0</v>
      </c>
      <c r="AD9" s="37">
        <f t="shared" si="7"/>
        <v>0</v>
      </c>
      <c r="AE9" s="28">
        <v>0</v>
      </c>
      <c r="AF9" s="28">
        <v>12</v>
      </c>
      <c r="AG9" s="29" t="str">
        <f t="shared" si="8"/>
        <v>F</v>
      </c>
      <c r="AH9" s="29">
        <f t="shared" si="12"/>
        <v>0</v>
      </c>
      <c r="AI9" s="104" t="s">
        <v>54</v>
      </c>
      <c r="AJ9" s="105"/>
      <c r="AK9" s="104"/>
      <c r="AL9" s="105"/>
      <c r="AM9" s="77"/>
      <c r="AN9" s="77"/>
      <c r="AO9" s="30" t="str">
        <f t="shared" si="9"/>
        <v>차시예정</v>
      </c>
      <c r="AP9" s="30" t="str">
        <f t="shared" si="10"/>
        <v>-</v>
      </c>
      <c r="AQ9" s="30" t="str">
        <f t="shared" si="13"/>
        <v>차시예정</v>
      </c>
      <c r="AR9" s="38"/>
      <c r="AS9" s="38"/>
      <c r="AT9" s="38"/>
      <c r="AU9" s="29">
        <f t="shared" si="11"/>
        <v>2</v>
      </c>
      <c r="AV9" s="42"/>
      <c r="AW9" s="44"/>
      <c r="AX9" s="33"/>
    </row>
    <row r="10" spans="1:54" ht="24.95" customHeight="1" x14ac:dyDescent="0.3">
      <c r="A10" s="119"/>
      <c r="B10" s="21"/>
      <c r="C10" s="21"/>
      <c r="D10" s="21"/>
      <c r="E10" s="22"/>
      <c r="F10" s="41">
        <v>0</v>
      </c>
      <c r="G10" s="41">
        <v>1</v>
      </c>
      <c r="H10" s="41">
        <v>1</v>
      </c>
      <c r="I10" s="41">
        <v>1</v>
      </c>
      <c r="J10" s="41">
        <v>1</v>
      </c>
      <c r="K10" s="41">
        <v>0</v>
      </c>
      <c r="L10" s="24">
        <f t="shared" si="0"/>
        <v>4</v>
      </c>
      <c r="M10" s="41">
        <v>1</v>
      </c>
      <c r="N10" s="41">
        <v>1</v>
      </c>
      <c r="O10" s="41">
        <v>0</v>
      </c>
      <c r="P10" s="41">
        <v>0</v>
      </c>
      <c r="Q10" s="41">
        <v>1</v>
      </c>
      <c r="R10" s="41">
        <v>1</v>
      </c>
      <c r="S10" s="25">
        <f t="shared" si="1"/>
        <v>4</v>
      </c>
      <c r="T10" s="41">
        <v>1</v>
      </c>
      <c r="U10" s="41">
        <v>0</v>
      </c>
      <c r="V10" s="25">
        <f t="shared" si="2"/>
        <v>1</v>
      </c>
      <c r="W10" s="41">
        <v>0</v>
      </c>
      <c r="X10" s="41">
        <v>0</v>
      </c>
      <c r="Y10" s="25">
        <f t="shared" si="3"/>
        <v>0</v>
      </c>
      <c r="Z10" s="36"/>
      <c r="AA10" s="37">
        <f t="shared" si="4"/>
        <v>0.66666666666666663</v>
      </c>
      <c r="AB10" s="37">
        <f t="shared" si="5"/>
        <v>0.66666666666666663</v>
      </c>
      <c r="AC10" s="37">
        <f t="shared" si="6"/>
        <v>0.5</v>
      </c>
      <c r="AD10" s="37">
        <f t="shared" si="7"/>
        <v>0</v>
      </c>
      <c r="AE10" s="28">
        <v>9</v>
      </c>
      <c r="AF10" s="28">
        <v>7</v>
      </c>
      <c r="AG10" s="29" t="str">
        <f t="shared" si="8"/>
        <v>F</v>
      </c>
      <c r="AH10" s="29">
        <f t="shared" si="12"/>
        <v>9</v>
      </c>
      <c r="AI10" s="104" t="s">
        <v>56</v>
      </c>
      <c r="AJ10" s="105"/>
      <c r="AK10" s="104" t="s">
        <v>57</v>
      </c>
      <c r="AL10" s="105"/>
      <c r="AM10" s="77"/>
      <c r="AN10" s="77"/>
      <c r="AO10" s="30" t="str">
        <f t="shared" si="9"/>
        <v>차시예정</v>
      </c>
      <c r="AP10" s="30" t="str">
        <f t="shared" si="10"/>
        <v>-</v>
      </c>
      <c r="AQ10" s="30" t="str">
        <f t="shared" ref="AQ10:AQ41" si="14">IF(AK10="P", "-","차시예정")</f>
        <v>차시예정</v>
      </c>
      <c r="AR10" s="38"/>
      <c r="AS10" s="38"/>
      <c r="AT10" s="38" t="s">
        <v>58</v>
      </c>
      <c r="AU10" s="29">
        <f t="shared" si="11"/>
        <v>2</v>
      </c>
      <c r="AV10" s="42"/>
      <c r="AW10" s="44"/>
      <c r="AX10" s="33"/>
    </row>
    <row r="11" spans="1:54" ht="24.95" customHeight="1" x14ac:dyDescent="0.3">
      <c r="A11" s="119"/>
      <c r="B11" s="21"/>
      <c r="C11" s="21"/>
      <c r="D11" s="21"/>
      <c r="E11" s="28"/>
      <c r="F11" s="28"/>
      <c r="G11" s="28"/>
      <c r="H11" s="28"/>
      <c r="I11" s="28"/>
      <c r="J11" s="28"/>
      <c r="K11" s="28"/>
      <c r="L11" s="24">
        <f t="shared" si="0"/>
        <v>0</v>
      </c>
      <c r="M11" s="28"/>
      <c r="N11" s="28"/>
      <c r="O11" s="28"/>
      <c r="P11" s="28"/>
      <c r="Q11" s="28"/>
      <c r="R11" s="28"/>
      <c r="S11" s="25">
        <f t="shared" si="1"/>
        <v>0</v>
      </c>
      <c r="T11" s="28"/>
      <c r="U11" s="28"/>
      <c r="V11" s="25">
        <f t="shared" si="2"/>
        <v>0</v>
      </c>
      <c r="W11" s="28"/>
      <c r="X11" s="28"/>
      <c r="Y11" s="25">
        <f t="shared" si="3"/>
        <v>0</v>
      </c>
      <c r="Z11" s="36"/>
      <c r="AA11" s="37">
        <f t="shared" si="4"/>
        <v>0</v>
      </c>
      <c r="AB11" s="37">
        <f t="shared" si="5"/>
        <v>0</v>
      </c>
      <c r="AC11" s="37">
        <f t="shared" si="6"/>
        <v>0</v>
      </c>
      <c r="AD11" s="37">
        <f t="shared" si="7"/>
        <v>0</v>
      </c>
      <c r="AE11" s="28">
        <v>0</v>
      </c>
      <c r="AF11" s="28">
        <v>12</v>
      </c>
      <c r="AG11" s="29" t="str">
        <f t="shared" si="8"/>
        <v>F</v>
      </c>
      <c r="AH11" s="29">
        <f t="shared" si="12"/>
        <v>0</v>
      </c>
      <c r="AI11" s="104" t="s">
        <v>56</v>
      </c>
      <c r="AJ11" s="105"/>
      <c r="AK11" s="104"/>
      <c r="AL11" s="105"/>
      <c r="AM11" s="77"/>
      <c r="AN11" s="77"/>
      <c r="AO11" s="30" t="str">
        <f t="shared" si="9"/>
        <v>차시예정</v>
      </c>
      <c r="AP11" s="30" t="str">
        <f t="shared" si="10"/>
        <v>-</v>
      </c>
      <c r="AQ11" s="30" t="str">
        <f t="shared" si="14"/>
        <v>차시예정</v>
      </c>
      <c r="AR11" s="38"/>
      <c r="AS11" s="38"/>
      <c r="AT11" s="38"/>
      <c r="AU11" s="29">
        <f t="shared" si="11"/>
        <v>2</v>
      </c>
      <c r="AV11" s="42"/>
      <c r="AW11" s="44"/>
      <c r="AX11" s="33"/>
    </row>
    <row r="12" spans="1:54" ht="24.95" customHeight="1" x14ac:dyDescent="0.3">
      <c r="A12" s="119"/>
      <c r="B12" s="21"/>
      <c r="C12" s="21"/>
      <c r="D12" s="21"/>
      <c r="E12" s="43"/>
      <c r="F12" s="41"/>
      <c r="G12" s="41"/>
      <c r="H12" s="41"/>
      <c r="I12" s="41"/>
      <c r="J12" s="41"/>
      <c r="K12" s="41"/>
      <c r="L12" s="24">
        <f t="shared" si="0"/>
        <v>0</v>
      </c>
      <c r="M12" s="41"/>
      <c r="N12" s="41"/>
      <c r="O12" s="41"/>
      <c r="P12" s="41"/>
      <c r="Q12" s="41"/>
      <c r="R12" s="41"/>
      <c r="S12" s="25">
        <f t="shared" si="1"/>
        <v>0</v>
      </c>
      <c r="T12" s="41"/>
      <c r="U12" s="41"/>
      <c r="V12" s="25">
        <f t="shared" si="2"/>
        <v>0</v>
      </c>
      <c r="W12" s="41"/>
      <c r="X12" s="41"/>
      <c r="Y12" s="25">
        <f t="shared" si="3"/>
        <v>0</v>
      </c>
      <c r="Z12" s="36"/>
      <c r="AA12" s="37">
        <f t="shared" si="4"/>
        <v>0</v>
      </c>
      <c r="AB12" s="37">
        <f t="shared" si="5"/>
        <v>0</v>
      </c>
      <c r="AC12" s="37">
        <f t="shared" si="6"/>
        <v>0</v>
      </c>
      <c r="AD12" s="37">
        <f t="shared" si="7"/>
        <v>0</v>
      </c>
      <c r="AE12" s="28">
        <v>0</v>
      </c>
      <c r="AF12" s="28">
        <v>12</v>
      </c>
      <c r="AG12" s="29" t="str">
        <f t="shared" si="8"/>
        <v>F</v>
      </c>
      <c r="AH12" s="29">
        <f t="shared" si="12"/>
        <v>0</v>
      </c>
      <c r="AI12" s="104" t="s">
        <v>61</v>
      </c>
      <c r="AJ12" s="105"/>
      <c r="AK12" s="83"/>
      <c r="AL12" s="83"/>
      <c r="AM12" s="29"/>
      <c r="AN12" s="29"/>
      <c r="AO12" s="30" t="str">
        <f t="shared" si="9"/>
        <v>차시예정</v>
      </c>
      <c r="AP12" s="30" t="str">
        <f t="shared" si="10"/>
        <v>-</v>
      </c>
      <c r="AQ12" s="30" t="str">
        <f t="shared" si="14"/>
        <v>차시예정</v>
      </c>
      <c r="AR12" s="38"/>
      <c r="AS12" s="38"/>
      <c r="AT12" s="38"/>
      <c r="AU12" s="29">
        <f t="shared" si="11"/>
        <v>2</v>
      </c>
      <c r="AV12" s="45"/>
      <c r="AW12" s="46"/>
      <c r="AX12" s="76"/>
    </row>
    <row r="13" spans="1:54" ht="24.95" customHeight="1" x14ac:dyDescent="0.3">
      <c r="A13" s="119"/>
      <c r="B13" s="21"/>
      <c r="C13" s="21"/>
      <c r="D13" s="21"/>
      <c r="E13" s="28"/>
      <c r="F13" s="41">
        <v>1</v>
      </c>
      <c r="G13" s="41">
        <v>1</v>
      </c>
      <c r="H13" s="41">
        <v>1</v>
      </c>
      <c r="I13" s="41">
        <v>0</v>
      </c>
      <c r="J13" s="41">
        <v>1</v>
      </c>
      <c r="K13" s="41">
        <v>0</v>
      </c>
      <c r="L13" s="24">
        <f t="shared" si="0"/>
        <v>4</v>
      </c>
      <c r="M13" s="41">
        <v>0</v>
      </c>
      <c r="N13" s="41">
        <v>1</v>
      </c>
      <c r="O13" s="41">
        <v>0</v>
      </c>
      <c r="P13" s="41">
        <v>0</v>
      </c>
      <c r="Q13" s="41">
        <v>0</v>
      </c>
      <c r="R13" s="41">
        <v>1</v>
      </c>
      <c r="S13" s="25">
        <f t="shared" si="1"/>
        <v>2</v>
      </c>
      <c r="T13" s="41">
        <v>1</v>
      </c>
      <c r="U13" s="41">
        <v>0</v>
      </c>
      <c r="V13" s="25">
        <f t="shared" si="2"/>
        <v>1</v>
      </c>
      <c r="W13" s="41">
        <v>0</v>
      </c>
      <c r="X13" s="41">
        <v>0</v>
      </c>
      <c r="Y13" s="25">
        <f t="shared" si="3"/>
        <v>0</v>
      </c>
      <c r="Z13" s="36"/>
      <c r="AA13" s="37">
        <f t="shared" si="4"/>
        <v>0.66666666666666663</v>
      </c>
      <c r="AB13" s="37">
        <f t="shared" si="5"/>
        <v>0.33333333333333331</v>
      </c>
      <c r="AC13" s="37">
        <f t="shared" si="6"/>
        <v>0.5</v>
      </c>
      <c r="AD13" s="37">
        <f t="shared" si="7"/>
        <v>0</v>
      </c>
      <c r="AE13" s="28">
        <v>7</v>
      </c>
      <c r="AF13" s="28">
        <v>10</v>
      </c>
      <c r="AG13" s="29" t="str">
        <f t="shared" si="8"/>
        <v>F</v>
      </c>
      <c r="AH13" s="29">
        <f t="shared" si="12"/>
        <v>7</v>
      </c>
      <c r="AI13" s="104" t="s">
        <v>63</v>
      </c>
      <c r="AJ13" s="105"/>
      <c r="AK13" s="83" t="s">
        <v>54</v>
      </c>
      <c r="AL13" s="83"/>
      <c r="AM13" s="29"/>
      <c r="AN13" s="29"/>
      <c r="AO13" s="30" t="str">
        <f t="shared" si="9"/>
        <v>차시예정</v>
      </c>
      <c r="AP13" s="30" t="str">
        <f t="shared" si="10"/>
        <v>-</v>
      </c>
      <c r="AQ13" s="30" t="str">
        <f t="shared" si="14"/>
        <v>-</v>
      </c>
      <c r="AR13" s="38"/>
      <c r="AS13" s="38"/>
      <c r="AT13" s="38" t="s">
        <v>64</v>
      </c>
      <c r="AU13" s="29">
        <f t="shared" si="11"/>
        <v>1</v>
      </c>
      <c r="AV13" s="45"/>
      <c r="AW13" s="46"/>
    </row>
    <row r="14" spans="1:54" ht="24.95" customHeight="1" x14ac:dyDescent="0.3">
      <c r="A14" s="119"/>
      <c r="B14" s="21"/>
      <c r="C14" s="21"/>
      <c r="D14" s="21"/>
      <c r="E14" s="28"/>
      <c r="F14" s="41"/>
      <c r="G14" s="41"/>
      <c r="H14" s="41"/>
      <c r="I14" s="41"/>
      <c r="J14" s="41"/>
      <c r="K14" s="41"/>
      <c r="L14" s="24">
        <f t="shared" si="0"/>
        <v>0</v>
      </c>
      <c r="M14" s="41"/>
      <c r="N14" s="41"/>
      <c r="O14" s="41"/>
      <c r="P14" s="41"/>
      <c r="Q14" s="41"/>
      <c r="R14" s="41"/>
      <c r="S14" s="25">
        <f t="shared" si="1"/>
        <v>0</v>
      </c>
      <c r="T14" s="41"/>
      <c r="U14" s="41"/>
      <c r="V14" s="25">
        <f t="shared" si="2"/>
        <v>0</v>
      </c>
      <c r="W14" s="41"/>
      <c r="X14" s="41"/>
      <c r="Y14" s="25">
        <f t="shared" si="3"/>
        <v>0</v>
      </c>
      <c r="Z14" s="36"/>
      <c r="AA14" s="37">
        <f t="shared" si="4"/>
        <v>0</v>
      </c>
      <c r="AB14" s="37">
        <f t="shared" si="5"/>
        <v>0</v>
      </c>
      <c r="AC14" s="37">
        <f t="shared" si="6"/>
        <v>0</v>
      </c>
      <c r="AD14" s="37">
        <f t="shared" si="7"/>
        <v>0</v>
      </c>
      <c r="AE14" s="28">
        <v>0</v>
      </c>
      <c r="AF14" s="28">
        <v>12</v>
      </c>
      <c r="AG14" s="29" t="str">
        <f t="shared" si="8"/>
        <v>F</v>
      </c>
      <c r="AH14" s="29">
        <f t="shared" si="12"/>
        <v>0</v>
      </c>
      <c r="AI14" s="104" t="s">
        <v>54</v>
      </c>
      <c r="AJ14" s="105"/>
      <c r="AK14" s="83"/>
      <c r="AL14" s="83"/>
      <c r="AM14" s="29"/>
      <c r="AN14" s="29"/>
      <c r="AO14" s="30" t="str">
        <f t="shared" si="9"/>
        <v>차시예정</v>
      </c>
      <c r="AP14" s="30" t="str">
        <f t="shared" si="10"/>
        <v>-</v>
      </c>
      <c r="AQ14" s="30" t="str">
        <f t="shared" si="14"/>
        <v>차시예정</v>
      </c>
      <c r="AR14" s="38"/>
      <c r="AS14" s="38"/>
      <c r="AT14" s="38"/>
      <c r="AU14" s="29">
        <f t="shared" si="11"/>
        <v>2</v>
      </c>
      <c r="AV14" s="45"/>
      <c r="AW14" s="46"/>
    </row>
    <row r="15" spans="1:54" ht="24.95" customHeight="1" x14ac:dyDescent="0.3">
      <c r="A15" s="119"/>
      <c r="B15" s="21"/>
      <c r="C15" s="21"/>
      <c r="D15" s="21"/>
      <c r="E15" s="43"/>
      <c r="F15" s="41"/>
      <c r="G15" s="41"/>
      <c r="H15" s="41"/>
      <c r="I15" s="41"/>
      <c r="J15" s="41"/>
      <c r="K15" s="41"/>
      <c r="L15" s="24">
        <f t="shared" si="0"/>
        <v>0</v>
      </c>
      <c r="M15" s="41"/>
      <c r="N15" s="41"/>
      <c r="O15" s="41"/>
      <c r="P15" s="41"/>
      <c r="Q15" s="41"/>
      <c r="R15" s="41"/>
      <c r="S15" s="25">
        <f t="shared" si="1"/>
        <v>0</v>
      </c>
      <c r="T15" s="41"/>
      <c r="U15" s="41"/>
      <c r="V15" s="25">
        <f t="shared" si="2"/>
        <v>0</v>
      </c>
      <c r="W15" s="41"/>
      <c r="X15" s="41"/>
      <c r="Y15" s="25">
        <f t="shared" si="3"/>
        <v>0</v>
      </c>
      <c r="Z15" s="36"/>
      <c r="AA15" s="37">
        <f t="shared" si="4"/>
        <v>0</v>
      </c>
      <c r="AB15" s="37">
        <f t="shared" si="5"/>
        <v>0</v>
      </c>
      <c r="AC15" s="37">
        <f t="shared" si="6"/>
        <v>0</v>
      </c>
      <c r="AD15" s="37">
        <f t="shared" si="7"/>
        <v>0</v>
      </c>
      <c r="AE15" s="28">
        <v>0</v>
      </c>
      <c r="AF15" s="28">
        <v>12</v>
      </c>
      <c r="AG15" s="29" t="str">
        <f t="shared" si="8"/>
        <v>F</v>
      </c>
      <c r="AH15" s="29">
        <f t="shared" si="12"/>
        <v>0</v>
      </c>
      <c r="AI15" s="104" t="s">
        <v>67</v>
      </c>
      <c r="AJ15" s="105"/>
      <c r="AK15" s="83"/>
      <c r="AL15" s="83"/>
      <c r="AM15" s="29"/>
      <c r="AN15" s="29"/>
      <c r="AO15" s="30" t="str">
        <f t="shared" si="9"/>
        <v>차시예정</v>
      </c>
      <c r="AP15" s="30" t="str">
        <f t="shared" si="10"/>
        <v>-</v>
      </c>
      <c r="AQ15" s="30" t="str">
        <f t="shared" si="14"/>
        <v>차시예정</v>
      </c>
      <c r="AR15" s="38"/>
      <c r="AS15" s="38"/>
      <c r="AT15" s="38"/>
      <c r="AU15" s="29">
        <f t="shared" si="11"/>
        <v>2</v>
      </c>
      <c r="AV15" s="45"/>
      <c r="AW15" s="46"/>
    </row>
    <row r="16" spans="1:54" ht="24.95" customHeight="1" x14ac:dyDescent="0.3">
      <c r="A16" s="119"/>
      <c r="B16" s="21"/>
      <c r="C16" s="21"/>
      <c r="D16" s="21"/>
      <c r="E16" s="28"/>
      <c r="F16" s="41"/>
      <c r="G16" s="41"/>
      <c r="H16" s="41"/>
      <c r="I16" s="41"/>
      <c r="J16" s="41"/>
      <c r="K16" s="41"/>
      <c r="L16" s="24">
        <f t="shared" si="0"/>
        <v>0</v>
      </c>
      <c r="M16" s="41"/>
      <c r="N16" s="41"/>
      <c r="O16" s="41"/>
      <c r="P16" s="41"/>
      <c r="Q16" s="41"/>
      <c r="R16" s="41"/>
      <c r="S16" s="25">
        <f t="shared" si="1"/>
        <v>0</v>
      </c>
      <c r="T16" s="41"/>
      <c r="U16" s="41"/>
      <c r="V16" s="25">
        <f t="shared" si="2"/>
        <v>0</v>
      </c>
      <c r="W16" s="41"/>
      <c r="X16" s="41"/>
      <c r="Y16" s="25">
        <f t="shared" si="3"/>
        <v>0</v>
      </c>
      <c r="Z16" s="36"/>
      <c r="AA16" s="37">
        <f t="shared" si="4"/>
        <v>0</v>
      </c>
      <c r="AB16" s="37">
        <f t="shared" si="5"/>
        <v>0</v>
      </c>
      <c r="AC16" s="37">
        <f t="shared" si="6"/>
        <v>0</v>
      </c>
      <c r="AD16" s="37">
        <f t="shared" si="7"/>
        <v>0</v>
      </c>
      <c r="AE16" s="28">
        <v>0</v>
      </c>
      <c r="AF16" s="28">
        <v>12</v>
      </c>
      <c r="AG16" s="29" t="str">
        <f t="shared" si="8"/>
        <v>F</v>
      </c>
      <c r="AH16" s="29">
        <f t="shared" si="12"/>
        <v>0</v>
      </c>
      <c r="AI16" s="104" t="s">
        <v>69</v>
      </c>
      <c r="AJ16" s="105"/>
      <c r="AK16" s="83"/>
      <c r="AL16" s="83"/>
      <c r="AM16" s="29"/>
      <c r="AN16" s="29"/>
      <c r="AO16" s="30" t="str">
        <f t="shared" si="9"/>
        <v>차시예정</v>
      </c>
      <c r="AP16" s="30" t="str">
        <f t="shared" si="10"/>
        <v>-</v>
      </c>
      <c r="AQ16" s="30" t="str">
        <f t="shared" si="14"/>
        <v>차시예정</v>
      </c>
      <c r="AR16" s="38"/>
      <c r="AS16" s="38"/>
      <c r="AT16" s="38"/>
      <c r="AU16" s="29">
        <f t="shared" si="11"/>
        <v>2</v>
      </c>
      <c r="AV16" s="45"/>
      <c r="AW16" s="46"/>
    </row>
    <row r="17" spans="1:51" ht="24.95" customHeight="1" x14ac:dyDescent="0.3">
      <c r="A17" s="119"/>
      <c r="B17" s="21"/>
      <c r="C17" s="21"/>
      <c r="D17" s="21"/>
      <c r="E17" s="28"/>
      <c r="F17" s="41"/>
      <c r="G17" s="41"/>
      <c r="H17" s="41"/>
      <c r="I17" s="41"/>
      <c r="J17" s="41"/>
      <c r="K17" s="41"/>
      <c r="L17" s="24">
        <f t="shared" si="0"/>
        <v>0</v>
      </c>
      <c r="M17" s="41"/>
      <c r="N17" s="41"/>
      <c r="O17" s="41"/>
      <c r="P17" s="41"/>
      <c r="Q17" s="41"/>
      <c r="R17" s="41"/>
      <c r="S17" s="25">
        <f t="shared" si="1"/>
        <v>0</v>
      </c>
      <c r="T17" s="41"/>
      <c r="U17" s="41"/>
      <c r="V17" s="25">
        <f t="shared" si="2"/>
        <v>0</v>
      </c>
      <c r="W17" s="41"/>
      <c r="X17" s="41"/>
      <c r="Y17" s="25">
        <f t="shared" si="3"/>
        <v>0</v>
      </c>
      <c r="Z17" s="36"/>
      <c r="AA17" s="37">
        <f t="shared" si="4"/>
        <v>0</v>
      </c>
      <c r="AB17" s="37">
        <f t="shared" si="5"/>
        <v>0</v>
      </c>
      <c r="AC17" s="37">
        <f t="shared" si="6"/>
        <v>0</v>
      </c>
      <c r="AD17" s="37">
        <f t="shared" si="7"/>
        <v>0</v>
      </c>
      <c r="AE17" s="28">
        <v>0</v>
      </c>
      <c r="AF17" s="28">
        <v>12</v>
      </c>
      <c r="AG17" s="29" t="str">
        <f t="shared" si="8"/>
        <v>F</v>
      </c>
      <c r="AH17" s="29">
        <f t="shared" si="12"/>
        <v>0</v>
      </c>
      <c r="AI17" s="104" t="s">
        <v>54</v>
      </c>
      <c r="AJ17" s="105"/>
      <c r="AK17" s="83"/>
      <c r="AL17" s="83"/>
      <c r="AM17" s="29"/>
      <c r="AN17" s="29"/>
      <c r="AO17" s="30" t="str">
        <f t="shared" si="9"/>
        <v>차시예정</v>
      </c>
      <c r="AP17" s="30" t="str">
        <f t="shared" si="10"/>
        <v>-</v>
      </c>
      <c r="AQ17" s="30" t="str">
        <f t="shared" si="14"/>
        <v>차시예정</v>
      </c>
      <c r="AR17" s="38"/>
      <c r="AS17" s="38"/>
      <c r="AT17" s="38"/>
      <c r="AU17" s="29">
        <f t="shared" si="11"/>
        <v>2</v>
      </c>
      <c r="AV17" s="45"/>
      <c r="AW17" s="46"/>
    </row>
    <row r="18" spans="1:51" ht="24.95" customHeight="1" x14ac:dyDescent="0.3">
      <c r="A18" s="119"/>
      <c r="B18" s="21"/>
      <c r="C18" s="21"/>
      <c r="D18" s="21"/>
      <c r="E18" s="28"/>
      <c r="F18" s="28"/>
      <c r="G18" s="28"/>
      <c r="H18" s="28"/>
      <c r="I18" s="28"/>
      <c r="J18" s="28"/>
      <c r="K18" s="28"/>
      <c r="L18" s="24">
        <f t="shared" si="0"/>
        <v>0</v>
      </c>
      <c r="M18" s="28"/>
      <c r="N18" s="28"/>
      <c r="O18" s="28"/>
      <c r="P18" s="28"/>
      <c r="Q18" s="28"/>
      <c r="R18" s="28"/>
      <c r="S18" s="25">
        <f t="shared" si="1"/>
        <v>0</v>
      </c>
      <c r="T18" s="28"/>
      <c r="U18" s="28"/>
      <c r="V18" s="25">
        <f t="shared" si="2"/>
        <v>0</v>
      </c>
      <c r="W18" s="28"/>
      <c r="X18" s="28"/>
      <c r="Y18" s="25">
        <f t="shared" si="3"/>
        <v>0</v>
      </c>
      <c r="Z18" s="36"/>
      <c r="AA18" s="37">
        <f t="shared" si="4"/>
        <v>0</v>
      </c>
      <c r="AB18" s="37">
        <f t="shared" si="5"/>
        <v>0</v>
      </c>
      <c r="AC18" s="37">
        <f t="shared" si="6"/>
        <v>0</v>
      </c>
      <c r="AD18" s="37">
        <f t="shared" si="7"/>
        <v>0</v>
      </c>
      <c r="AE18" s="28">
        <v>0</v>
      </c>
      <c r="AF18" s="28">
        <v>12</v>
      </c>
      <c r="AG18" s="29" t="str">
        <f t="shared" si="8"/>
        <v>F</v>
      </c>
      <c r="AH18" s="29">
        <f t="shared" si="12"/>
        <v>0</v>
      </c>
      <c r="AI18" s="104" t="s">
        <v>72</v>
      </c>
      <c r="AJ18" s="105"/>
      <c r="AK18" s="83"/>
      <c r="AL18" s="83"/>
      <c r="AM18" s="29"/>
      <c r="AN18" s="29"/>
      <c r="AO18" s="30" t="str">
        <f t="shared" si="9"/>
        <v>차시예정</v>
      </c>
      <c r="AP18" s="30" t="str">
        <f t="shared" si="10"/>
        <v>-</v>
      </c>
      <c r="AQ18" s="30" t="str">
        <f t="shared" si="14"/>
        <v>차시예정</v>
      </c>
      <c r="AR18" s="38"/>
      <c r="AS18" s="38"/>
      <c r="AT18" s="38"/>
      <c r="AU18" s="29">
        <f t="shared" si="11"/>
        <v>2</v>
      </c>
      <c r="AV18" s="45"/>
      <c r="AW18" s="46"/>
    </row>
    <row r="19" spans="1:51" ht="24.95" customHeight="1" x14ac:dyDescent="0.3">
      <c r="A19" s="119"/>
      <c r="B19" s="21"/>
      <c r="C19" s="21"/>
      <c r="D19" s="21"/>
      <c r="E19" s="43"/>
      <c r="F19" s="41"/>
      <c r="G19" s="41"/>
      <c r="H19" s="41"/>
      <c r="I19" s="41"/>
      <c r="J19" s="41"/>
      <c r="K19" s="41"/>
      <c r="L19" s="24">
        <f t="shared" si="0"/>
        <v>0</v>
      </c>
      <c r="M19" s="41"/>
      <c r="N19" s="41"/>
      <c r="O19" s="41"/>
      <c r="P19" s="41"/>
      <c r="Q19" s="41"/>
      <c r="R19" s="41"/>
      <c r="S19" s="25">
        <f t="shared" si="1"/>
        <v>0</v>
      </c>
      <c r="T19" s="41"/>
      <c r="U19" s="41"/>
      <c r="V19" s="25">
        <f t="shared" si="2"/>
        <v>0</v>
      </c>
      <c r="W19" s="41"/>
      <c r="X19" s="41"/>
      <c r="Y19" s="25">
        <f t="shared" si="3"/>
        <v>0</v>
      </c>
      <c r="Z19" s="36"/>
      <c r="AA19" s="37">
        <f t="shared" si="4"/>
        <v>0</v>
      </c>
      <c r="AB19" s="37">
        <f t="shared" si="5"/>
        <v>0</v>
      </c>
      <c r="AC19" s="37">
        <f t="shared" si="6"/>
        <v>0</v>
      </c>
      <c r="AD19" s="37">
        <f t="shared" si="7"/>
        <v>0</v>
      </c>
      <c r="AE19" s="28">
        <v>0</v>
      </c>
      <c r="AF19" s="28">
        <v>12</v>
      </c>
      <c r="AG19" s="29" t="str">
        <f t="shared" si="8"/>
        <v>F</v>
      </c>
      <c r="AH19" s="29">
        <f t="shared" si="12"/>
        <v>0</v>
      </c>
      <c r="AI19" s="104" t="s">
        <v>63</v>
      </c>
      <c r="AJ19" s="105"/>
      <c r="AK19" s="83"/>
      <c r="AL19" s="83"/>
      <c r="AM19" s="29"/>
      <c r="AN19" s="29"/>
      <c r="AO19" s="30" t="str">
        <f t="shared" si="9"/>
        <v>차시예정</v>
      </c>
      <c r="AP19" s="30" t="str">
        <f t="shared" si="10"/>
        <v>-</v>
      </c>
      <c r="AQ19" s="30" t="str">
        <f t="shared" si="14"/>
        <v>차시예정</v>
      </c>
      <c r="AR19" s="38"/>
      <c r="AS19" s="38"/>
      <c r="AT19" s="38"/>
      <c r="AU19" s="29">
        <f>COUNTIF(AO19:AT19, "차시예정")+COUNTIF(AO19:AT19, "X")</f>
        <v>2</v>
      </c>
      <c r="AV19" s="45"/>
      <c r="AW19" s="46"/>
    </row>
    <row r="20" spans="1:51" ht="24.95" customHeight="1" x14ac:dyDescent="0.3">
      <c r="A20" s="119"/>
      <c r="B20" s="21"/>
      <c r="C20" s="21"/>
      <c r="D20" s="21"/>
      <c r="E20" s="43"/>
      <c r="F20" s="41"/>
      <c r="G20" s="41"/>
      <c r="H20" s="41"/>
      <c r="I20" s="41"/>
      <c r="J20" s="41"/>
      <c r="K20" s="41"/>
      <c r="L20" s="24">
        <f t="shared" si="0"/>
        <v>0</v>
      </c>
      <c r="M20" s="41"/>
      <c r="N20" s="41"/>
      <c r="O20" s="41"/>
      <c r="P20" s="41"/>
      <c r="Q20" s="41"/>
      <c r="R20" s="41"/>
      <c r="S20" s="25">
        <f t="shared" si="1"/>
        <v>0</v>
      </c>
      <c r="T20" s="41"/>
      <c r="U20" s="41"/>
      <c r="V20" s="25">
        <f t="shared" si="2"/>
        <v>0</v>
      </c>
      <c r="W20" s="41"/>
      <c r="X20" s="41"/>
      <c r="Y20" s="25">
        <f t="shared" si="3"/>
        <v>0</v>
      </c>
      <c r="Z20" s="36"/>
      <c r="AA20" s="37">
        <f t="shared" si="4"/>
        <v>0</v>
      </c>
      <c r="AB20" s="37">
        <f t="shared" si="5"/>
        <v>0</v>
      </c>
      <c r="AC20" s="37">
        <f t="shared" si="6"/>
        <v>0</v>
      </c>
      <c r="AD20" s="37">
        <f t="shared" si="7"/>
        <v>0</v>
      </c>
      <c r="AE20" s="28">
        <v>0</v>
      </c>
      <c r="AF20" s="28">
        <v>12</v>
      </c>
      <c r="AG20" s="29" t="str">
        <f t="shared" si="8"/>
        <v>F</v>
      </c>
      <c r="AH20" s="29">
        <f t="shared" si="12"/>
        <v>0</v>
      </c>
      <c r="AI20" s="104" t="s">
        <v>75</v>
      </c>
      <c r="AJ20" s="105"/>
      <c r="AK20" s="83"/>
      <c r="AL20" s="83"/>
      <c r="AM20" s="29"/>
      <c r="AN20" s="29"/>
      <c r="AO20" s="30" t="str">
        <f t="shared" si="9"/>
        <v>차시예정</v>
      </c>
      <c r="AP20" s="30" t="str">
        <f t="shared" si="10"/>
        <v>-</v>
      </c>
      <c r="AQ20" s="30" t="str">
        <f t="shared" si="14"/>
        <v>차시예정</v>
      </c>
      <c r="AR20" s="38"/>
      <c r="AS20" s="38"/>
      <c r="AT20" s="38"/>
      <c r="AU20" s="29">
        <f t="shared" si="11"/>
        <v>2</v>
      </c>
      <c r="AV20" s="45"/>
      <c r="AW20" s="46"/>
      <c r="AX20" s="47"/>
      <c r="AY20" s="47"/>
    </row>
    <row r="21" spans="1:51" ht="24.95" customHeight="1" x14ac:dyDescent="0.3">
      <c r="A21" s="119"/>
      <c r="B21" s="21"/>
      <c r="C21" s="21"/>
      <c r="D21" s="21"/>
      <c r="E21" s="28"/>
      <c r="F21" s="41"/>
      <c r="G21" s="41"/>
      <c r="H21" s="41"/>
      <c r="I21" s="41"/>
      <c r="J21" s="41"/>
      <c r="K21" s="41"/>
      <c r="L21" s="24">
        <f t="shared" si="0"/>
        <v>0</v>
      </c>
      <c r="M21" s="41"/>
      <c r="N21" s="41"/>
      <c r="O21" s="41"/>
      <c r="P21" s="41"/>
      <c r="Q21" s="41"/>
      <c r="R21" s="41"/>
      <c r="S21" s="25">
        <f t="shared" si="1"/>
        <v>0</v>
      </c>
      <c r="T21" s="41"/>
      <c r="U21" s="41"/>
      <c r="V21" s="25">
        <f t="shared" si="2"/>
        <v>0</v>
      </c>
      <c r="W21" s="41"/>
      <c r="X21" s="41"/>
      <c r="Y21" s="25">
        <f t="shared" si="3"/>
        <v>0</v>
      </c>
      <c r="Z21" s="36"/>
      <c r="AA21" s="37">
        <f t="shared" si="4"/>
        <v>0</v>
      </c>
      <c r="AB21" s="37">
        <f t="shared" si="5"/>
        <v>0</v>
      </c>
      <c r="AC21" s="37">
        <f t="shared" si="6"/>
        <v>0</v>
      </c>
      <c r="AD21" s="37">
        <f t="shared" si="7"/>
        <v>0</v>
      </c>
      <c r="AE21" s="28">
        <v>0</v>
      </c>
      <c r="AF21" s="28">
        <v>12</v>
      </c>
      <c r="AG21" s="29" t="str">
        <f t="shared" si="8"/>
        <v>F</v>
      </c>
      <c r="AH21" s="29">
        <f t="shared" si="12"/>
        <v>0</v>
      </c>
      <c r="AI21" s="104" t="s">
        <v>54</v>
      </c>
      <c r="AJ21" s="105"/>
      <c r="AK21" s="83"/>
      <c r="AL21" s="83"/>
      <c r="AM21" s="29"/>
      <c r="AN21" s="29"/>
      <c r="AO21" s="30" t="str">
        <f t="shared" si="9"/>
        <v>차시예정</v>
      </c>
      <c r="AP21" s="30" t="str">
        <f t="shared" si="10"/>
        <v>-</v>
      </c>
      <c r="AQ21" s="30" t="str">
        <f t="shared" si="14"/>
        <v>차시예정</v>
      </c>
      <c r="AR21" s="38"/>
      <c r="AS21" s="38"/>
      <c r="AT21" s="38"/>
      <c r="AU21" s="29">
        <f t="shared" si="11"/>
        <v>2</v>
      </c>
      <c r="AV21" s="45"/>
      <c r="AW21" s="46"/>
    </row>
    <row r="22" spans="1:51" ht="24.95" customHeight="1" x14ac:dyDescent="0.3">
      <c r="A22" s="119"/>
      <c r="B22" s="21"/>
      <c r="C22" s="21"/>
      <c r="D22" s="21"/>
      <c r="E22" s="28"/>
      <c r="F22" s="28"/>
      <c r="G22" s="28"/>
      <c r="H22" s="28"/>
      <c r="I22" s="28"/>
      <c r="J22" s="28"/>
      <c r="K22" s="28"/>
      <c r="L22" s="24">
        <f t="shared" si="0"/>
        <v>0</v>
      </c>
      <c r="M22" s="28"/>
      <c r="N22" s="28"/>
      <c r="O22" s="28"/>
      <c r="P22" s="28"/>
      <c r="Q22" s="28"/>
      <c r="R22" s="28"/>
      <c r="S22" s="25">
        <f t="shared" si="1"/>
        <v>0</v>
      </c>
      <c r="T22" s="28"/>
      <c r="U22" s="28"/>
      <c r="V22" s="25">
        <f t="shared" si="2"/>
        <v>0</v>
      </c>
      <c r="W22" s="28"/>
      <c r="X22" s="28"/>
      <c r="Y22" s="25">
        <f t="shared" si="3"/>
        <v>0</v>
      </c>
      <c r="Z22" s="36"/>
      <c r="AA22" s="37">
        <f t="shared" si="4"/>
        <v>0</v>
      </c>
      <c r="AB22" s="37">
        <f t="shared" si="5"/>
        <v>0</v>
      </c>
      <c r="AC22" s="37">
        <f t="shared" si="6"/>
        <v>0</v>
      </c>
      <c r="AD22" s="37">
        <f t="shared" si="7"/>
        <v>0</v>
      </c>
      <c r="AE22" s="28">
        <v>0</v>
      </c>
      <c r="AF22" s="28">
        <v>12</v>
      </c>
      <c r="AG22" s="29" t="str">
        <f t="shared" si="8"/>
        <v>F</v>
      </c>
      <c r="AH22" s="29">
        <f t="shared" si="12"/>
        <v>0</v>
      </c>
      <c r="AI22" s="104" t="s">
        <v>35</v>
      </c>
      <c r="AJ22" s="105"/>
      <c r="AK22" s="83"/>
      <c r="AL22" s="83"/>
      <c r="AM22" s="29"/>
      <c r="AN22" s="29"/>
      <c r="AO22" s="30" t="str">
        <f t="shared" si="9"/>
        <v>차시예정</v>
      </c>
      <c r="AP22" s="30" t="str">
        <f t="shared" si="10"/>
        <v>-</v>
      </c>
      <c r="AQ22" s="30" t="str">
        <f t="shared" si="14"/>
        <v>차시예정</v>
      </c>
      <c r="AR22" s="38"/>
      <c r="AS22" s="38"/>
      <c r="AT22" s="38"/>
      <c r="AU22" s="29">
        <f t="shared" si="11"/>
        <v>2</v>
      </c>
      <c r="AV22" s="45"/>
      <c r="AW22" s="46"/>
    </row>
    <row r="23" spans="1:51" ht="24.95" customHeight="1" x14ac:dyDescent="0.3">
      <c r="A23" s="119"/>
      <c r="B23" s="21"/>
      <c r="C23" s="21"/>
      <c r="D23" s="21"/>
      <c r="E23" s="22"/>
      <c r="F23" s="28"/>
      <c r="G23" s="28"/>
      <c r="H23" s="28"/>
      <c r="I23" s="28"/>
      <c r="J23" s="28"/>
      <c r="K23" s="28"/>
      <c r="L23" s="24">
        <f t="shared" si="0"/>
        <v>0</v>
      </c>
      <c r="M23" s="28"/>
      <c r="N23" s="28"/>
      <c r="O23" s="28"/>
      <c r="P23" s="28"/>
      <c r="Q23" s="28"/>
      <c r="R23" s="28"/>
      <c r="S23" s="25">
        <f t="shared" si="1"/>
        <v>0</v>
      </c>
      <c r="T23" s="28"/>
      <c r="U23" s="28"/>
      <c r="V23" s="25">
        <f t="shared" si="2"/>
        <v>0</v>
      </c>
      <c r="W23" s="28"/>
      <c r="X23" s="28"/>
      <c r="Y23" s="25">
        <f t="shared" si="3"/>
        <v>0</v>
      </c>
      <c r="Z23" s="36"/>
      <c r="AA23" s="37">
        <f t="shared" si="4"/>
        <v>0</v>
      </c>
      <c r="AB23" s="37">
        <f t="shared" si="5"/>
        <v>0</v>
      </c>
      <c r="AC23" s="37">
        <f t="shared" si="6"/>
        <v>0</v>
      </c>
      <c r="AD23" s="37">
        <f t="shared" si="7"/>
        <v>0</v>
      </c>
      <c r="AE23" s="28">
        <v>0</v>
      </c>
      <c r="AF23" s="28">
        <v>12</v>
      </c>
      <c r="AG23" s="29" t="str">
        <f t="shared" si="8"/>
        <v>F</v>
      </c>
      <c r="AH23" s="29">
        <f t="shared" si="12"/>
        <v>0</v>
      </c>
      <c r="AI23" s="104" t="s">
        <v>35</v>
      </c>
      <c r="AJ23" s="105"/>
      <c r="AK23" s="83"/>
      <c r="AL23" s="83"/>
      <c r="AM23" s="29"/>
      <c r="AN23" s="29"/>
      <c r="AO23" s="30" t="str">
        <f t="shared" si="9"/>
        <v>차시예정</v>
      </c>
      <c r="AP23" s="30" t="str">
        <f t="shared" si="10"/>
        <v>-</v>
      </c>
      <c r="AQ23" s="30" t="str">
        <f t="shared" si="14"/>
        <v>차시예정</v>
      </c>
      <c r="AR23" s="38"/>
      <c r="AS23" s="38"/>
      <c r="AT23" s="38"/>
      <c r="AU23" s="29">
        <f t="shared" si="11"/>
        <v>2</v>
      </c>
      <c r="AV23" s="45"/>
      <c r="AW23" s="46"/>
      <c r="AX23" s="47"/>
    </row>
    <row r="24" spans="1:51" ht="24.95" customHeight="1" x14ac:dyDescent="0.3">
      <c r="A24" s="119"/>
      <c r="B24" s="21"/>
      <c r="C24" s="21"/>
      <c r="D24" s="21"/>
      <c r="E24" s="28"/>
      <c r="F24" s="41"/>
      <c r="G24" s="41"/>
      <c r="H24" s="41"/>
      <c r="I24" s="41"/>
      <c r="J24" s="41"/>
      <c r="K24" s="41"/>
      <c r="L24" s="24">
        <f t="shared" si="0"/>
        <v>0</v>
      </c>
      <c r="M24" s="41"/>
      <c r="N24" s="41"/>
      <c r="O24" s="41"/>
      <c r="P24" s="41"/>
      <c r="Q24" s="41"/>
      <c r="R24" s="41"/>
      <c r="S24" s="25">
        <f t="shared" si="1"/>
        <v>0</v>
      </c>
      <c r="T24" s="41"/>
      <c r="U24" s="41"/>
      <c r="V24" s="25">
        <f t="shared" si="2"/>
        <v>0</v>
      </c>
      <c r="W24" s="41"/>
      <c r="X24" s="41"/>
      <c r="Y24" s="25">
        <f t="shared" si="3"/>
        <v>0</v>
      </c>
      <c r="Z24" s="36"/>
      <c r="AA24" s="37">
        <f t="shared" si="4"/>
        <v>0</v>
      </c>
      <c r="AB24" s="37">
        <f t="shared" si="5"/>
        <v>0</v>
      </c>
      <c r="AC24" s="37">
        <f t="shared" si="6"/>
        <v>0</v>
      </c>
      <c r="AD24" s="37">
        <f t="shared" si="7"/>
        <v>0</v>
      </c>
      <c r="AE24" s="28">
        <v>0</v>
      </c>
      <c r="AF24" s="28">
        <v>12</v>
      </c>
      <c r="AG24" s="29" t="str">
        <f t="shared" si="8"/>
        <v>F</v>
      </c>
      <c r="AH24" s="29">
        <f t="shared" si="12"/>
        <v>0</v>
      </c>
      <c r="AI24" s="104" t="s">
        <v>80</v>
      </c>
      <c r="AJ24" s="105"/>
      <c r="AK24" s="83"/>
      <c r="AL24" s="83"/>
      <c r="AM24" s="29"/>
      <c r="AN24" s="29"/>
      <c r="AO24" s="30" t="str">
        <f t="shared" si="9"/>
        <v>차시예정</v>
      </c>
      <c r="AP24" s="30" t="str">
        <f t="shared" si="10"/>
        <v>-</v>
      </c>
      <c r="AQ24" s="30" t="str">
        <f t="shared" si="14"/>
        <v>차시예정</v>
      </c>
      <c r="AR24" s="38"/>
      <c r="AS24" s="38"/>
      <c r="AT24" s="38"/>
      <c r="AU24" s="29">
        <f t="shared" si="11"/>
        <v>2</v>
      </c>
      <c r="AV24" s="45"/>
      <c r="AW24" s="46"/>
    </row>
    <row r="25" spans="1:51" ht="24.95" customHeight="1" x14ac:dyDescent="0.3">
      <c r="A25" s="119"/>
      <c r="B25" s="21"/>
      <c r="C25" s="21" t="s">
        <v>152</v>
      </c>
      <c r="D25" s="21" t="s">
        <v>150</v>
      </c>
      <c r="E25" s="43"/>
      <c r="F25" s="41"/>
      <c r="G25" s="41"/>
      <c r="H25" s="41"/>
      <c r="I25" s="41"/>
      <c r="J25" s="41"/>
      <c r="K25" s="41"/>
      <c r="L25" s="24">
        <f t="shared" si="0"/>
        <v>0</v>
      </c>
      <c r="M25" s="41"/>
      <c r="N25" s="41"/>
      <c r="O25" s="41"/>
      <c r="P25" s="41"/>
      <c r="Q25" s="41"/>
      <c r="R25" s="41"/>
      <c r="S25" s="25">
        <f t="shared" si="1"/>
        <v>0</v>
      </c>
      <c r="T25" s="41"/>
      <c r="U25" s="41"/>
      <c r="V25" s="25">
        <f t="shared" si="2"/>
        <v>0</v>
      </c>
      <c r="W25" s="41"/>
      <c r="X25" s="41"/>
      <c r="Y25" s="25">
        <f t="shared" si="3"/>
        <v>0</v>
      </c>
      <c r="Z25" s="36"/>
      <c r="AA25" s="37">
        <f t="shared" si="4"/>
        <v>0</v>
      </c>
      <c r="AB25" s="37">
        <f t="shared" si="5"/>
        <v>0</v>
      </c>
      <c r="AC25" s="37">
        <f t="shared" si="6"/>
        <v>0</v>
      </c>
      <c r="AD25" s="37">
        <f t="shared" si="7"/>
        <v>0</v>
      </c>
      <c r="AE25" s="28">
        <v>0</v>
      </c>
      <c r="AF25" s="28">
        <v>12</v>
      </c>
      <c r="AG25" s="29" t="str">
        <f t="shared" si="8"/>
        <v>F</v>
      </c>
      <c r="AH25" s="29">
        <f t="shared" si="12"/>
        <v>0</v>
      </c>
      <c r="AI25" s="104" t="s">
        <v>35</v>
      </c>
      <c r="AJ25" s="105"/>
      <c r="AK25" s="83"/>
      <c r="AL25" s="83"/>
      <c r="AM25" s="29"/>
      <c r="AN25" s="29"/>
      <c r="AO25" s="30" t="str">
        <f t="shared" si="9"/>
        <v>차시예정</v>
      </c>
      <c r="AP25" s="30" t="str">
        <f t="shared" si="10"/>
        <v>-</v>
      </c>
      <c r="AQ25" s="30" t="str">
        <f t="shared" si="14"/>
        <v>차시예정</v>
      </c>
      <c r="AR25" s="42"/>
      <c r="AS25" s="42"/>
      <c r="AT25" s="38"/>
      <c r="AU25" s="29">
        <f t="shared" si="11"/>
        <v>2</v>
      </c>
      <c r="AV25" s="45"/>
      <c r="AW25" s="46"/>
    </row>
    <row r="26" spans="1:51" ht="24.95" customHeight="1" x14ac:dyDescent="0.3">
      <c r="A26" s="119"/>
      <c r="B26" s="21"/>
      <c r="C26" s="21" t="s">
        <v>152</v>
      </c>
      <c r="D26" s="21" t="s">
        <v>151</v>
      </c>
      <c r="E26" s="28"/>
      <c r="F26" s="41">
        <v>1</v>
      </c>
      <c r="G26" s="41">
        <v>1</v>
      </c>
      <c r="H26" s="41">
        <v>1</v>
      </c>
      <c r="I26" s="41">
        <v>1</v>
      </c>
      <c r="J26" s="41">
        <v>1</v>
      </c>
      <c r="K26" s="41">
        <v>1</v>
      </c>
      <c r="L26" s="24">
        <f t="shared" si="0"/>
        <v>6</v>
      </c>
      <c r="M26" s="41">
        <v>1</v>
      </c>
      <c r="N26" s="41">
        <v>1</v>
      </c>
      <c r="O26" s="41">
        <v>1</v>
      </c>
      <c r="P26" s="41">
        <v>1</v>
      </c>
      <c r="Q26" s="41">
        <v>1</v>
      </c>
      <c r="R26" s="41">
        <v>1</v>
      </c>
      <c r="S26" s="25">
        <f t="shared" si="1"/>
        <v>6</v>
      </c>
      <c r="T26" s="41">
        <v>1</v>
      </c>
      <c r="U26" s="41">
        <v>1</v>
      </c>
      <c r="V26" s="25">
        <f t="shared" si="2"/>
        <v>2</v>
      </c>
      <c r="W26" s="41">
        <v>1</v>
      </c>
      <c r="X26" s="41">
        <v>0</v>
      </c>
      <c r="Y26" s="25">
        <f t="shared" si="3"/>
        <v>1</v>
      </c>
      <c r="Z26" s="36"/>
      <c r="AA26" s="37">
        <f t="shared" si="4"/>
        <v>1</v>
      </c>
      <c r="AB26" s="37">
        <f t="shared" si="5"/>
        <v>1</v>
      </c>
      <c r="AC26" s="37">
        <f t="shared" si="6"/>
        <v>1</v>
      </c>
      <c r="AD26" s="37">
        <f t="shared" si="7"/>
        <v>0.5</v>
      </c>
      <c r="AE26" s="28">
        <v>15</v>
      </c>
      <c r="AF26" s="28">
        <v>1</v>
      </c>
      <c r="AG26" s="29" t="str">
        <f t="shared" si="8"/>
        <v>P</v>
      </c>
      <c r="AH26" s="29">
        <f t="shared" si="12"/>
        <v>15</v>
      </c>
      <c r="AI26" s="104" t="s">
        <v>35</v>
      </c>
      <c r="AJ26" s="105"/>
      <c r="AK26" s="83" t="s">
        <v>35</v>
      </c>
      <c r="AL26" s="83"/>
      <c r="AM26" s="29"/>
      <c r="AN26" s="29"/>
      <c r="AO26" s="30" t="str">
        <f t="shared" si="9"/>
        <v>-</v>
      </c>
      <c r="AP26" s="30" t="str">
        <f t="shared" si="10"/>
        <v>-</v>
      </c>
      <c r="AQ26" s="30" t="str">
        <f t="shared" si="14"/>
        <v>-</v>
      </c>
      <c r="AR26" s="38"/>
      <c r="AS26" s="38"/>
      <c r="AT26" s="38" t="s">
        <v>83</v>
      </c>
      <c r="AU26" s="29">
        <f t="shared" si="11"/>
        <v>1</v>
      </c>
      <c r="AV26" s="45"/>
      <c r="AW26" s="46"/>
    </row>
    <row r="27" spans="1:51" ht="24.95" customHeight="1" x14ac:dyDescent="0.3">
      <c r="A27" s="119"/>
      <c r="B27" s="21"/>
      <c r="C27" s="21"/>
      <c r="D27" s="21"/>
      <c r="E27" s="28"/>
      <c r="F27" s="41"/>
      <c r="G27" s="81"/>
      <c r="H27" s="41"/>
      <c r="I27" s="41"/>
      <c r="J27" s="41"/>
      <c r="K27" s="41"/>
      <c r="L27" s="24">
        <f t="shared" si="0"/>
        <v>0</v>
      </c>
      <c r="M27" s="41"/>
      <c r="N27" s="41"/>
      <c r="O27" s="41"/>
      <c r="P27" s="41"/>
      <c r="Q27" s="41"/>
      <c r="R27" s="41"/>
      <c r="S27" s="25">
        <f t="shared" si="1"/>
        <v>0</v>
      </c>
      <c r="T27" s="41"/>
      <c r="U27" s="41"/>
      <c r="V27" s="25">
        <f t="shared" si="2"/>
        <v>0</v>
      </c>
      <c r="W27" s="41"/>
      <c r="X27" s="41"/>
      <c r="Y27" s="25">
        <f t="shared" si="3"/>
        <v>0</v>
      </c>
      <c r="Z27" s="36"/>
      <c r="AA27" s="37">
        <f t="shared" si="4"/>
        <v>0</v>
      </c>
      <c r="AB27" s="37">
        <f t="shared" si="5"/>
        <v>0</v>
      </c>
      <c r="AC27" s="37">
        <f t="shared" si="6"/>
        <v>0</v>
      </c>
      <c r="AD27" s="37">
        <f t="shared" si="7"/>
        <v>0</v>
      </c>
      <c r="AE27" s="28">
        <v>0</v>
      </c>
      <c r="AF27" s="28">
        <v>12</v>
      </c>
      <c r="AG27" s="29" t="str">
        <f t="shared" si="8"/>
        <v>F</v>
      </c>
      <c r="AH27" s="29">
        <f t="shared" si="12"/>
        <v>0</v>
      </c>
      <c r="AI27" s="104" t="s">
        <v>35</v>
      </c>
      <c r="AJ27" s="105"/>
      <c r="AK27" s="83"/>
      <c r="AL27" s="83"/>
      <c r="AM27" s="29"/>
      <c r="AN27" s="29"/>
      <c r="AO27" s="30" t="str">
        <f t="shared" si="9"/>
        <v>차시예정</v>
      </c>
      <c r="AP27" s="30" t="str">
        <f t="shared" si="10"/>
        <v>-</v>
      </c>
      <c r="AQ27" s="30" t="str">
        <f t="shared" si="14"/>
        <v>차시예정</v>
      </c>
      <c r="AR27" s="38"/>
      <c r="AS27" s="38"/>
      <c r="AT27" s="38"/>
      <c r="AU27" s="29">
        <f t="shared" si="11"/>
        <v>2</v>
      </c>
      <c r="AV27" s="45"/>
      <c r="AW27" s="46"/>
    </row>
    <row r="28" spans="1:51" ht="24.95" customHeight="1" x14ac:dyDescent="0.3">
      <c r="A28" s="119"/>
      <c r="B28" s="21"/>
      <c r="C28" s="21"/>
      <c r="D28" s="21"/>
      <c r="E28" s="28"/>
      <c r="F28" s="28"/>
      <c r="G28" s="28"/>
      <c r="H28" s="28"/>
      <c r="I28" s="28"/>
      <c r="J28" s="28"/>
      <c r="K28" s="28"/>
      <c r="L28" s="24">
        <f t="shared" si="0"/>
        <v>0</v>
      </c>
      <c r="M28" s="28"/>
      <c r="N28" s="28"/>
      <c r="O28" s="28"/>
      <c r="P28" s="28"/>
      <c r="Q28" s="28"/>
      <c r="R28" s="28"/>
      <c r="S28" s="25">
        <f t="shared" si="1"/>
        <v>0</v>
      </c>
      <c r="T28" s="28"/>
      <c r="U28" s="28"/>
      <c r="V28" s="25">
        <f t="shared" si="2"/>
        <v>0</v>
      </c>
      <c r="W28" s="28"/>
      <c r="X28" s="28"/>
      <c r="Y28" s="25">
        <f t="shared" si="3"/>
        <v>0</v>
      </c>
      <c r="Z28" s="36"/>
      <c r="AA28" s="37">
        <f t="shared" si="4"/>
        <v>0</v>
      </c>
      <c r="AB28" s="37">
        <f t="shared" si="5"/>
        <v>0</v>
      </c>
      <c r="AC28" s="37">
        <f t="shared" si="6"/>
        <v>0</v>
      </c>
      <c r="AD28" s="37">
        <f t="shared" si="7"/>
        <v>0</v>
      </c>
      <c r="AE28" s="28">
        <v>0</v>
      </c>
      <c r="AF28" s="28">
        <v>12</v>
      </c>
      <c r="AG28" s="29" t="str">
        <f t="shared" si="8"/>
        <v>F</v>
      </c>
      <c r="AH28" s="29">
        <f t="shared" si="12"/>
        <v>0</v>
      </c>
      <c r="AI28" s="104" t="s">
        <v>80</v>
      </c>
      <c r="AJ28" s="105"/>
      <c r="AK28" s="83"/>
      <c r="AL28" s="83"/>
      <c r="AM28" s="29"/>
      <c r="AN28" s="29"/>
      <c r="AO28" s="30" t="str">
        <f t="shared" si="9"/>
        <v>차시예정</v>
      </c>
      <c r="AP28" s="30" t="str">
        <f t="shared" si="10"/>
        <v>-</v>
      </c>
      <c r="AQ28" s="30" t="str">
        <f t="shared" si="14"/>
        <v>차시예정</v>
      </c>
      <c r="AR28" s="38"/>
      <c r="AS28" s="38"/>
      <c r="AT28" s="38"/>
      <c r="AU28" s="29">
        <f t="shared" si="11"/>
        <v>2</v>
      </c>
      <c r="AV28" s="45"/>
      <c r="AW28" s="46"/>
    </row>
    <row r="29" spans="1:51" ht="24.95" customHeight="1" x14ac:dyDescent="0.3">
      <c r="A29" s="119"/>
      <c r="B29" s="21"/>
      <c r="C29" s="21"/>
      <c r="D29" s="21"/>
      <c r="E29" s="41"/>
      <c r="F29" s="41"/>
      <c r="G29" s="41"/>
      <c r="H29" s="41"/>
      <c r="I29" s="41"/>
      <c r="J29" s="41"/>
      <c r="K29" s="41"/>
      <c r="L29" s="24">
        <f t="shared" si="0"/>
        <v>0</v>
      </c>
      <c r="M29" s="41"/>
      <c r="N29" s="41"/>
      <c r="O29" s="41"/>
      <c r="P29" s="41"/>
      <c r="Q29" s="41"/>
      <c r="R29" s="41"/>
      <c r="S29" s="25">
        <f t="shared" si="1"/>
        <v>0</v>
      </c>
      <c r="T29" s="41"/>
      <c r="U29" s="41"/>
      <c r="V29" s="25">
        <f t="shared" si="2"/>
        <v>0</v>
      </c>
      <c r="W29" s="41"/>
      <c r="X29" s="41"/>
      <c r="Y29" s="25">
        <f t="shared" si="3"/>
        <v>0</v>
      </c>
      <c r="Z29" s="36"/>
      <c r="AA29" s="37">
        <f t="shared" si="4"/>
        <v>0</v>
      </c>
      <c r="AB29" s="37">
        <f t="shared" si="5"/>
        <v>0</v>
      </c>
      <c r="AC29" s="37">
        <f t="shared" si="6"/>
        <v>0</v>
      </c>
      <c r="AD29" s="37">
        <f t="shared" si="7"/>
        <v>0</v>
      </c>
      <c r="AE29" s="28">
        <v>0</v>
      </c>
      <c r="AF29" s="28">
        <v>12</v>
      </c>
      <c r="AG29" s="29" t="str">
        <f t="shared" si="8"/>
        <v>F</v>
      </c>
      <c r="AH29" s="29">
        <f t="shared" si="12"/>
        <v>0</v>
      </c>
      <c r="AI29" s="104" t="s">
        <v>35</v>
      </c>
      <c r="AJ29" s="105"/>
      <c r="AK29" s="104"/>
      <c r="AL29" s="105"/>
      <c r="AM29" s="77"/>
      <c r="AN29" s="77"/>
      <c r="AO29" s="30" t="str">
        <f t="shared" si="9"/>
        <v>차시예정</v>
      </c>
      <c r="AP29" s="30" t="str">
        <f t="shared" si="10"/>
        <v>-</v>
      </c>
      <c r="AQ29" s="30" t="str">
        <f t="shared" si="14"/>
        <v>차시예정</v>
      </c>
      <c r="AR29" s="38"/>
      <c r="AS29" s="38"/>
      <c r="AT29" s="38"/>
      <c r="AU29" s="29">
        <f t="shared" si="11"/>
        <v>2</v>
      </c>
      <c r="AV29" s="45"/>
      <c r="AW29" s="46"/>
    </row>
    <row r="30" spans="1:51" ht="24.95" customHeight="1" x14ac:dyDescent="0.3">
      <c r="A30" s="119"/>
      <c r="B30" s="21"/>
      <c r="C30" s="21"/>
      <c r="D30" s="21"/>
      <c r="E30" s="41"/>
      <c r="F30" s="41">
        <v>1</v>
      </c>
      <c r="G30" s="41">
        <v>1</v>
      </c>
      <c r="H30" s="41">
        <v>1</v>
      </c>
      <c r="I30" s="41">
        <v>0</v>
      </c>
      <c r="J30" s="41">
        <v>1</v>
      </c>
      <c r="K30" s="41">
        <v>1</v>
      </c>
      <c r="L30" s="24">
        <f t="shared" si="0"/>
        <v>5</v>
      </c>
      <c r="M30" s="41">
        <v>0</v>
      </c>
      <c r="N30" s="41">
        <v>0</v>
      </c>
      <c r="O30" s="41">
        <v>1</v>
      </c>
      <c r="P30" s="41">
        <v>1</v>
      </c>
      <c r="Q30" s="41">
        <v>1</v>
      </c>
      <c r="R30" s="41">
        <v>1</v>
      </c>
      <c r="S30" s="25">
        <f t="shared" si="1"/>
        <v>4</v>
      </c>
      <c r="T30" s="41">
        <v>1</v>
      </c>
      <c r="U30" s="41">
        <v>1</v>
      </c>
      <c r="V30" s="25">
        <f t="shared" si="2"/>
        <v>2</v>
      </c>
      <c r="W30" s="41">
        <v>1</v>
      </c>
      <c r="X30" s="41">
        <v>1</v>
      </c>
      <c r="Y30" s="25">
        <f t="shared" si="3"/>
        <v>2</v>
      </c>
      <c r="Z30" s="36"/>
      <c r="AA30" s="37">
        <f t="shared" si="4"/>
        <v>0.83333333333333337</v>
      </c>
      <c r="AB30" s="37">
        <f t="shared" si="5"/>
        <v>0.66666666666666663</v>
      </c>
      <c r="AC30" s="37">
        <f t="shared" si="6"/>
        <v>1</v>
      </c>
      <c r="AD30" s="37">
        <f t="shared" si="7"/>
        <v>1</v>
      </c>
      <c r="AE30" s="28">
        <v>13</v>
      </c>
      <c r="AF30" s="28">
        <v>3</v>
      </c>
      <c r="AG30" s="29" t="str">
        <f t="shared" si="8"/>
        <v>P</v>
      </c>
      <c r="AH30" s="29">
        <f t="shared" si="12"/>
        <v>13</v>
      </c>
      <c r="AI30" s="104" t="s">
        <v>35</v>
      </c>
      <c r="AJ30" s="105"/>
      <c r="AK30" s="104" t="s">
        <v>35</v>
      </c>
      <c r="AL30" s="105"/>
      <c r="AM30" s="77"/>
      <c r="AN30" s="77"/>
      <c r="AO30" s="30" t="str">
        <f t="shared" si="9"/>
        <v>-</v>
      </c>
      <c r="AP30" s="30" t="str">
        <f t="shared" si="10"/>
        <v>-</v>
      </c>
      <c r="AQ30" s="30" t="str">
        <f t="shared" si="14"/>
        <v>-</v>
      </c>
      <c r="AR30" s="42"/>
      <c r="AS30" s="38"/>
      <c r="AT30" s="38" t="s">
        <v>83</v>
      </c>
      <c r="AU30" s="29">
        <f t="shared" si="11"/>
        <v>1</v>
      </c>
      <c r="AV30" s="45"/>
      <c r="AW30" s="46"/>
    </row>
    <row r="31" spans="1:51" ht="24.95" customHeight="1" x14ac:dyDescent="0.3">
      <c r="A31" s="119"/>
      <c r="B31" s="21"/>
      <c r="C31" s="21"/>
      <c r="D31" s="21"/>
      <c r="E31" s="41"/>
      <c r="F31" s="41"/>
      <c r="G31" s="41"/>
      <c r="H31" s="41"/>
      <c r="I31" s="41"/>
      <c r="J31" s="41"/>
      <c r="K31" s="41"/>
      <c r="L31" s="24">
        <f t="shared" si="0"/>
        <v>0</v>
      </c>
      <c r="M31" s="41"/>
      <c r="N31" s="41"/>
      <c r="O31" s="41"/>
      <c r="P31" s="41"/>
      <c r="Q31" s="41"/>
      <c r="R31" s="41"/>
      <c r="S31" s="25">
        <f t="shared" si="1"/>
        <v>0</v>
      </c>
      <c r="T31" s="41"/>
      <c r="U31" s="41"/>
      <c r="V31" s="25">
        <f t="shared" si="2"/>
        <v>0</v>
      </c>
      <c r="W31" s="41"/>
      <c r="X31" s="41"/>
      <c r="Y31" s="25">
        <f t="shared" si="3"/>
        <v>0</v>
      </c>
      <c r="Z31" s="36"/>
      <c r="AA31" s="37">
        <f t="shared" si="4"/>
        <v>0</v>
      </c>
      <c r="AB31" s="37">
        <f t="shared" si="5"/>
        <v>0</v>
      </c>
      <c r="AC31" s="37">
        <f t="shared" si="6"/>
        <v>0</v>
      </c>
      <c r="AD31" s="37">
        <f t="shared" si="7"/>
        <v>0</v>
      </c>
      <c r="AE31" s="28">
        <v>0</v>
      </c>
      <c r="AF31" s="28">
        <v>12</v>
      </c>
      <c r="AG31" s="29" t="str">
        <f t="shared" si="8"/>
        <v>F</v>
      </c>
      <c r="AH31" s="29">
        <f t="shared" si="12"/>
        <v>0</v>
      </c>
      <c r="AI31" s="104" t="s">
        <v>35</v>
      </c>
      <c r="AJ31" s="105"/>
      <c r="AK31" s="104"/>
      <c r="AL31" s="105"/>
      <c r="AM31" s="77"/>
      <c r="AN31" s="77"/>
      <c r="AO31" s="30" t="str">
        <f t="shared" si="9"/>
        <v>차시예정</v>
      </c>
      <c r="AP31" s="30" t="str">
        <f t="shared" si="10"/>
        <v>-</v>
      </c>
      <c r="AQ31" s="30" t="str">
        <f t="shared" si="14"/>
        <v>차시예정</v>
      </c>
      <c r="AR31" s="38"/>
      <c r="AS31" s="38"/>
      <c r="AT31" s="38"/>
      <c r="AU31" s="29">
        <f t="shared" si="11"/>
        <v>2</v>
      </c>
      <c r="AV31" s="45"/>
      <c r="AW31" s="46"/>
    </row>
    <row r="32" spans="1:51" ht="24.95" customHeight="1" x14ac:dyDescent="0.3">
      <c r="A32" s="119"/>
      <c r="B32" s="21"/>
      <c r="C32" s="21"/>
      <c r="D32" s="21"/>
      <c r="E32" s="41"/>
      <c r="F32" s="41">
        <v>0</v>
      </c>
      <c r="G32" s="41">
        <v>0</v>
      </c>
      <c r="H32" s="41">
        <v>1</v>
      </c>
      <c r="I32" s="41">
        <v>1</v>
      </c>
      <c r="J32" s="41">
        <v>1</v>
      </c>
      <c r="K32" s="41">
        <v>1</v>
      </c>
      <c r="L32" s="24">
        <f t="shared" si="0"/>
        <v>4</v>
      </c>
      <c r="M32" s="41">
        <v>0</v>
      </c>
      <c r="N32" s="41">
        <v>1</v>
      </c>
      <c r="O32" s="41">
        <v>1</v>
      </c>
      <c r="P32" s="41">
        <v>0</v>
      </c>
      <c r="Q32" s="41">
        <v>1</v>
      </c>
      <c r="R32" s="41">
        <v>1</v>
      </c>
      <c r="S32" s="25">
        <f t="shared" si="1"/>
        <v>4</v>
      </c>
      <c r="T32" s="41">
        <v>1</v>
      </c>
      <c r="U32" s="41">
        <v>1</v>
      </c>
      <c r="V32" s="25">
        <f t="shared" si="2"/>
        <v>2</v>
      </c>
      <c r="W32" s="41">
        <v>1</v>
      </c>
      <c r="X32" s="41">
        <v>0</v>
      </c>
      <c r="Y32" s="25">
        <f t="shared" si="3"/>
        <v>1</v>
      </c>
      <c r="Z32" s="36"/>
      <c r="AA32" s="37">
        <f t="shared" si="4"/>
        <v>0.66666666666666663</v>
      </c>
      <c r="AB32" s="37">
        <f t="shared" si="5"/>
        <v>0.66666666666666663</v>
      </c>
      <c r="AC32" s="37">
        <f t="shared" si="6"/>
        <v>1</v>
      </c>
      <c r="AD32" s="37">
        <f t="shared" si="7"/>
        <v>0.5</v>
      </c>
      <c r="AE32" s="28">
        <v>11</v>
      </c>
      <c r="AF32" s="28">
        <v>5</v>
      </c>
      <c r="AG32" s="29" t="str">
        <f t="shared" si="8"/>
        <v>F</v>
      </c>
      <c r="AH32" s="29">
        <f t="shared" si="12"/>
        <v>11</v>
      </c>
      <c r="AI32" s="104" t="s">
        <v>35</v>
      </c>
      <c r="AJ32" s="105"/>
      <c r="AK32" s="104" t="s">
        <v>35</v>
      </c>
      <c r="AL32" s="105"/>
      <c r="AM32" s="77"/>
      <c r="AN32" s="77"/>
      <c r="AO32" s="30" t="str">
        <f t="shared" si="9"/>
        <v>차시예정</v>
      </c>
      <c r="AP32" s="30" t="str">
        <f t="shared" si="10"/>
        <v>-</v>
      </c>
      <c r="AQ32" s="30" t="str">
        <f t="shared" si="14"/>
        <v>-</v>
      </c>
      <c r="AR32" s="38"/>
      <c r="AS32" s="38"/>
      <c r="AT32" s="38" t="s">
        <v>90</v>
      </c>
      <c r="AU32" s="29">
        <f t="shared" si="11"/>
        <v>1</v>
      </c>
      <c r="AV32" s="45"/>
      <c r="AW32" s="46"/>
    </row>
    <row r="33" spans="1:50" ht="24.95" customHeight="1" x14ac:dyDescent="0.3">
      <c r="A33" s="119"/>
      <c r="B33" s="21"/>
      <c r="C33" s="21"/>
      <c r="D33" s="21"/>
      <c r="E33" s="41"/>
      <c r="F33" s="41"/>
      <c r="G33" s="41"/>
      <c r="H33" s="41"/>
      <c r="I33" s="41"/>
      <c r="J33" s="41"/>
      <c r="K33" s="41"/>
      <c r="L33" s="24">
        <f t="shared" si="0"/>
        <v>0</v>
      </c>
      <c r="M33" s="41"/>
      <c r="N33" s="41"/>
      <c r="O33" s="41"/>
      <c r="P33" s="41"/>
      <c r="Q33" s="41"/>
      <c r="R33" s="41"/>
      <c r="S33" s="25">
        <f t="shared" si="1"/>
        <v>0</v>
      </c>
      <c r="T33" s="41"/>
      <c r="U33" s="41"/>
      <c r="V33" s="25">
        <f t="shared" si="2"/>
        <v>0</v>
      </c>
      <c r="W33" s="41"/>
      <c r="X33" s="41"/>
      <c r="Y33" s="25">
        <f t="shared" si="3"/>
        <v>0</v>
      </c>
      <c r="Z33" s="36"/>
      <c r="AA33" s="37">
        <f t="shared" si="4"/>
        <v>0</v>
      </c>
      <c r="AB33" s="37">
        <f t="shared" si="5"/>
        <v>0</v>
      </c>
      <c r="AC33" s="37">
        <f t="shared" si="6"/>
        <v>0</v>
      </c>
      <c r="AD33" s="37">
        <f t="shared" si="7"/>
        <v>0</v>
      </c>
      <c r="AE33" s="28">
        <v>0</v>
      </c>
      <c r="AF33" s="28">
        <v>12</v>
      </c>
      <c r="AG33" s="29" t="str">
        <f t="shared" si="8"/>
        <v>F</v>
      </c>
      <c r="AH33" s="29">
        <f t="shared" si="12"/>
        <v>0</v>
      </c>
      <c r="AI33" s="104" t="s">
        <v>35</v>
      </c>
      <c r="AJ33" s="105"/>
      <c r="AK33" s="104"/>
      <c r="AL33" s="105"/>
      <c r="AM33" s="77"/>
      <c r="AN33" s="77"/>
      <c r="AO33" s="30" t="str">
        <f t="shared" si="9"/>
        <v>차시예정</v>
      </c>
      <c r="AP33" s="30" t="str">
        <f t="shared" si="10"/>
        <v>-</v>
      </c>
      <c r="AQ33" s="30" t="str">
        <f t="shared" si="14"/>
        <v>차시예정</v>
      </c>
      <c r="AR33" s="38"/>
      <c r="AS33" s="38"/>
      <c r="AT33" s="38"/>
      <c r="AU33" s="29">
        <f t="shared" si="11"/>
        <v>2</v>
      </c>
      <c r="AV33" s="45"/>
      <c r="AW33" s="46"/>
    </row>
    <row r="34" spans="1:50" ht="24.95" customHeight="1" x14ac:dyDescent="0.3">
      <c r="A34" s="119"/>
      <c r="B34" s="21"/>
      <c r="C34" s="21"/>
      <c r="D34" s="21"/>
      <c r="E34" s="41"/>
      <c r="F34" s="41"/>
      <c r="G34" s="41"/>
      <c r="H34" s="41"/>
      <c r="I34" s="41"/>
      <c r="J34" s="41"/>
      <c r="K34" s="41"/>
      <c r="L34" s="24">
        <f t="shared" si="0"/>
        <v>0</v>
      </c>
      <c r="M34" s="41"/>
      <c r="N34" s="41"/>
      <c r="O34" s="41"/>
      <c r="P34" s="41"/>
      <c r="Q34" s="41"/>
      <c r="R34" s="41"/>
      <c r="S34" s="25">
        <f t="shared" si="1"/>
        <v>0</v>
      </c>
      <c r="T34" s="41"/>
      <c r="U34" s="41"/>
      <c r="V34" s="25">
        <f t="shared" si="2"/>
        <v>0</v>
      </c>
      <c r="W34" s="41"/>
      <c r="X34" s="41"/>
      <c r="Y34" s="25">
        <f t="shared" si="3"/>
        <v>0</v>
      </c>
      <c r="Z34" s="36"/>
      <c r="AA34" s="37">
        <f t="shared" si="4"/>
        <v>0</v>
      </c>
      <c r="AB34" s="37">
        <f t="shared" si="5"/>
        <v>0</v>
      </c>
      <c r="AC34" s="37">
        <f t="shared" si="6"/>
        <v>0</v>
      </c>
      <c r="AD34" s="37">
        <f t="shared" si="7"/>
        <v>0</v>
      </c>
      <c r="AE34" s="28">
        <v>0</v>
      </c>
      <c r="AF34" s="28">
        <v>12</v>
      </c>
      <c r="AG34" s="29" t="str">
        <f t="shared" si="8"/>
        <v>F</v>
      </c>
      <c r="AH34" s="29">
        <f t="shared" si="12"/>
        <v>0</v>
      </c>
      <c r="AI34" s="104" t="s">
        <v>80</v>
      </c>
      <c r="AJ34" s="105"/>
      <c r="AK34" s="104"/>
      <c r="AL34" s="105"/>
      <c r="AM34" s="77"/>
      <c r="AN34" s="77"/>
      <c r="AO34" s="30" t="str">
        <f t="shared" si="9"/>
        <v>차시예정</v>
      </c>
      <c r="AP34" s="30" t="str">
        <f t="shared" si="10"/>
        <v>-</v>
      </c>
      <c r="AQ34" s="30" t="str">
        <f t="shared" si="14"/>
        <v>차시예정</v>
      </c>
      <c r="AR34" s="38"/>
      <c r="AS34" s="38"/>
      <c r="AT34" s="38"/>
      <c r="AU34" s="29">
        <f t="shared" si="11"/>
        <v>2</v>
      </c>
      <c r="AV34" s="45"/>
      <c r="AW34" s="46"/>
    </row>
    <row r="35" spans="1:50" ht="24.95" customHeight="1" x14ac:dyDescent="0.3">
      <c r="A35" s="119"/>
      <c r="B35" s="21"/>
      <c r="C35" s="21"/>
      <c r="D35" s="21"/>
      <c r="E35" s="41"/>
      <c r="F35" s="41"/>
      <c r="G35" s="41"/>
      <c r="H35" s="41"/>
      <c r="I35" s="41"/>
      <c r="J35" s="41"/>
      <c r="K35" s="41"/>
      <c r="L35" s="24">
        <f t="shared" si="0"/>
        <v>0</v>
      </c>
      <c r="M35" s="41"/>
      <c r="N35" s="41"/>
      <c r="O35" s="41"/>
      <c r="P35" s="41"/>
      <c r="Q35" s="41"/>
      <c r="R35" s="41"/>
      <c r="S35" s="25">
        <f t="shared" si="1"/>
        <v>0</v>
      </c>
      <c r="T35" s="41"/>
      <c r="U35" s="41"/>
      <c r="V35" s="25">
        <f t="shared" si="2"/>
        <v>0</v>
      </c>
      <c r="W35" s="41"/>
      <c r="X35" s="41"/>
      <c r="Y35" s="25">
        <f t="shared" si="3"/>
        <v>0</v>
      </c>
      <c r="Z35" s="36"/>
      <c r="AA35" s="37">
        <f t="shared" si="4"/>
        <v>0</v>
      </c>
      <c r="AB35" s="37">
        <f t="shared" si="5"/>
        <v>0</v>
      </c>
      <c r="AC35" s="37">
        <f t="shared" si="6"/>
        <v>0</v>
      </c>
      <c r="AD35" s="37">
        <f t="shared" si="7"/>
        <v>0</v>
      </c>
      <c r="AE35" s="28">
        <v>0</v>
      </c>
      <c r="AF35" s="28">
        <v>12</v>
      </c>
      <c r="AG35" s="29" t="str">
        <f t="shared" si="8"/>
        <v>F</v>
      </c>
      <c r="AH35" s="29">
        <f t="shared" si="12"/>
        <v>0</v>
      </c>
      <c r="AI35" s="104" t="s">
        <v>35</v>
      </c>
      <c r="AJ35" s="105"/>
      <c r="AK35" s="104"/>
      <c r="AL35" s="105"/>
      <c r="AM35" s="77"/>
      <c r="AN35" s="77"/>
      <c r="AO35" s="30" t="str">
        <f t="shared" si="9"/>
        <v>차시예정</v>
      </c>
      <c r="AP35" s="30" t="str">
        <f t="shared" si="10"/>
        <v>-</v>
      </c>
      <c r="AQ35" s="30" t="str">
        <f t="shared" si="14"/>
        <v>차시예정</v>
      </c>
      <c r="AR35" s="38"/>
      <c r="AS35" s="38"/>
      <c r="AT35" s="38"/>
      <c r="AU35" s="29">
        <f t="shared" si="11"/>
        <v>2</v>
      </c>
      <c r="AV35" s="45"/>
      <c r="AW35" s="46"/>
    </row>
    <row r="36" spans="1:50" ht="24.95" customHeight="1" x14ac:dyDescent="0.3">
      <c r="A36" s="119"/>
      <c r="B36" s="21"/>
      <c r="C36" s="21"/>
      <c r="D36" s="21"/>
      <c r="E36" s="41"/>
      <c r="F36" s="41"/>
      <c r="G36" s="41"/>
      <c r="H36" s="41"/>
      <c r="I36" s="41"/>
      <c r="J36" s="41"/>
      <c r="K36" s="41"/>
      <c r="L36" s="24">
        <f t="shared" si="0"/>
        <v>0</v>
      </c>
      <c r="M36" s="41"/>
      <c r="N36" s="41"/>
      <c r="O36" s="41"/>
      <c r="P36" s="41"/>
      <c r="Q36" s="41"/>
      <c r="R36" s="41"/>
      <c r="S36" s="25">
        <f t="shared" si="1"/>
        <v>0</v>
      </c>
      <c r="T36" s="41"/>
      <c r="U36" s="41"/>
      <c r="V36" s="25">
        <f t="shared" ref="V36:V67" si="15">SUM(T36:U36)</f>
        <v>0</v>
      </c>
      <c r="W36" s="41"/>
      <c r="X36" s="41"/>
      <c r="Y36" s="25">
        <f t="shared" si="3"/>
        <v>0</v>
      </c>
      <c r="Z36" s="36"/>
      <c r="AA36" s="37">
        <f t="shared" si="4"/>
        <v>0</v>
      </c>
      <c r="AB36" s="37">
        <f t="shared" si="5"/>
        <v>0</v>
      </c>
      <c r="AC36" s="37">
        <f t="shared" si="6"/>
        <v>0</v>
      </c>
      <c r="AD36" s="37">
        <f t="shared" si="7"/>
        <v>0</v>
      </c>
      <c r="AE36" s="28">
        <v>0</v>
      </c>
      <c r="AF36" s="28">
        <v>12</v>
      </c>
      <c r="AG36" s="29" t="str">
        <f t="shared" si="8"/>
        <v>F</v>
      </c>
      <c r="AH36" s="29">
        <f t="shared" si="12"/>
        <v>0</v>
      </c>
      <c r="AI36" s="104" t="s">
        <v>35</v>
      </c>
      <c r="AJ36" s="105"/>
      <c r="AK36" s="104"/>
      <c r="AL36" s="105"/>
      <c r="AM36" s="77"/>
      <c r="AN36" s="77"/>
      <c r="AO36" s="30" t="str">
        <f t="shared" ref="AO36:AO67" si="16">IF(AG36="P", "-","차시예정")</f>
        <v>차시예정</v>
      </c>
      <c r="AP36" s="30" t="str">
        <f t="shared" ref="AP36:AP67" si="17">IF(AI36="P", "-","차시예정")</f>
        <v>-</v>
      </c>
      <c r="AQ36" s="30" t="str">
        <f t="shared" si="14"/>
        <v>차시예정</v>
      </c>
      <c r="AR36" s="38"/>
      <c r="AS36" s="38"/>
      <c r="AT36" s="38"/>
      <c r="AU36" s="29">
        <f t="shared" si="11"/>
        <v>2</v>
      </c>
      <c r="AV36" s="45"/>
      <c r="AW36" s="46"/>
    </row>
    <row r="37" spans="1:50" ht="24.95" customHeight="1" x14ac:dyDescent="0.3">
      <c r="A37" s="119"/>
      <c r="B37" s="21"/>
      <c r="C37" s="21"/>
      <c r="D37" s="21"/>
      <c r="E37" s="41"/>
      <c r="F37" s="41"/>
      <c r="G37" s="41"/>
      <c r="H37" s="41"/>
      <c r="I37" s="41"/>
      <c r="J37" s="41"/>
      <c r="K37" s="41"/>
      <c r="L37" s="24">
        <f t="shared" si="0"/>
        <v>0</v>
      </c>
      <c r="M37" s="41"/>
      <c r="N37" s="41"/>
      <c r="O37" s="41"/>
      <c r="P37" s="41"/>
      <c r="Q37" s="41"/>
      <c r="R37" s="41"/>
      <c r="S37" s="25">
        <f t="shared" si="1"/>
        <v>0</v>
      </c>
      <c r="T37" s="41"/>
      <c r="U37" s="41"/>
      <c r="V37" s="25">
        <f t="shared" si="15"/>
        <v>0</v>
      </c>
      <c r="W37" s="41"/>
      <c r="X37" s="41"/>
      <c r="Y37" s="25">
        <f t="shared" si="3"/>
        <v>0</v>
      </c>
      <c r="Z37" s="36"/>
      <c r="AA37" s="37">
        <f t="shared" si="4"/>
        <v>0</v>
      </c>
      <c r="AB37" s="37">
        <f t="shared" si="5"/>
        <v>0</v>
      </c>
      <c r="AC37" s="37">
        <f t="shared" si="6"/>
        <v>0</v>
      </c>
      <c r="AD37" s="37">
        <f t="shared" si="7"/>
        <v>0</v>
      </c>
      <c r="AE37" s="28">
        <v>0</v>
      </c>
      <c r="AF37" s="28">
        <v>12</v>
      </c>
      <c r="AG37" s="29" t="str">
        <f t="shared" si="8"/>
        <v>F</v>
      </c>
      <c r="AH37" s="29">
        <f t="shared" si="12"/>
        <v>0</v>
      </c>
      <c r="AI37" s="104" t="s">
        <v>35</v>
      </c>
      <c r="AJ37" s="105"/>
      <c r="AK37" s="104"/>
      <c r="AL37" s="105"/>
      <c r="AM37" s="77"/>
      <c r="AN37" s="77"/>
      <c r="AO37" s="30" t="str">
        <f t="shared" si="16"/>
        <v>차시예정</v>
      </c>
      <c r="AP37" s="30" t="str">
        <f t="shared" si="17"/>
        <v>-</v>
      </c>
      <c r="AQ37" s="30" t="str">
        <f t="shared" si="14"/>
        <v>차시예정</v>
      </c>
      <c r="AR37" s="38"/>
      <c r="AS37" s="38"/>
      <c r="AT37" s="38"/>
      <c r="AU37" s="29">
        <f t="shared" si="11"/>
        <v>2</v>
      </c>
      <c r="AV37" s="45"/>
      <c r="AW37" s="46"/>
    </row>
    <row r="38" spans="1:50" ht="24.95" customHeight="1" x14ac:dyDescent="0.3">
      <c r="A38" s="119"/>
      <c r="B38" s="21"/>
      <c r="C38" s="21"/>
      <c r="D38" s="21"/>
      <c r="E38" s="41"/>
      <c r="F38" s="41"/>
      <c r="G38" s="41"/>
      <c r="H38" s="41"/>
      <c r="I38" s="41"/>
      <c r="J38" s="41"/>
      <c r="K38" s="41"/>
      <c r="L38" s="24">
        <f t="shared" si="0"/>
        <v>0</v>
      </c>
      <c r="M38" s="41"/>
      <c r="N38" s="41"/>
      <c r="O38" s="41"/>
      <c r="P38" s="41"/>
      <c r="Q38" s="41"/>
      <c r="R38" s="41"/>
      <c r="S38" s="25">
        <f t="shared" si="1"/>
        <v>0</v>
      </c>
      <c r="T38" s="41"/>
      <c r="U38" s="41"/>
      <c r="V38" s="25">
        <f t="shared" si="15"/>
        <v>0</v>
      </c>
      <c r="W38" s="41"/>
      <c r="X38" s="41"/>
      <c r="Y38" s="25">
        <f t="shared" si="3"/>
        <v>0</v>
      </c>
      <c r="Z38" s="36"/>
      <c r="AA38" s="37">
        <f t="shared" si="4"/>
        <v>0</v>
      </c>
      <c r="AB38" s="37">
        <f t="shared" si="5"/>
        <v>0</v>
      </c>
      <c r="AC38" s="37">
        <f t="shared" si="6"/>
        <v>0</v>
      </c>
      <c r="AD38" s="37">
        <f t="shared" si="7"/>
        <v>0</v>
      </c>
      <c r="AE38" s="28">
        <v>0</v>
      </c>
      <c r="AF38" s="28">
        <v>12</v>
      </c>
      <c r="AG38" s="29" t="str">
        <f t="shared" si="8"/>
        <v>F</v>
      </c>
      <c r="AH38" s="29">
        <f t="shared" si="12"/>
        <v>0</v>
      </c>
      <c r="AI38" s="104" t="s">
        <v>35</v>
      </c>
      <c r="AJ38" s="105"/>
      <c r="AK38" s="104"/>
      <c r="AL38" s="105"/>
      <c r="AM38" s="77"/>
      <c r="AN38" s="77"/>
      <c r="AO38" s="30" t="str">
        <f t="shared" si="16"/>
        <v>차시예정</v>
      </c>
      <c r="AP38" s="30" t="str">
        <f t="shared" si="17"/>
        <v>-</v>
      </c>
      <c r="AQ38" s="30" t="str">
        <f t="shared" si="14"/>
        <v>차시예정</v>
      </c>
      <c r="AR38" s="38"/>
      <c r="AS38" s="38"/>
      <c r="AT38" s="38"/>
      <c r="AU38" s="29">
        <f t="shared" si="11"/>
        <v>2</v>
      </c>
      <c r="AV38" s="45"/>
      <c r="AW38" s="46"/>
    </row>
    <row r="39" spans="1:50" ht="24.95" customHeight="1" x14ac:dyDescent="0.3">
      <c r="A39" s="119"/>
      <c r="B39" s="21"/>
      <c r="C39" s="21"/>
      <c r="D39" s="21"/>
      <c r="E39" s="41"/>
      <c r="F39" s="41">
        <v>1</v>
      </c>
      <c r="G39" s="41">
        <v>1</v>
      </c>
      <c r="H39" s="41">
        <v>1</v>
      </c>
      <c r="I39" s="41">
        <v>1</v>
      </c>
      <c r="J39" s="41">
        <v>0</v>
      </c>
      <c r="K39" s="41">
        <v>0</v>
      </c>
      <c r="L39" s="24">
        <f t="shared" si="0"/>
        <v>4</v>
      </c>
      <c r="M39" s="41">
        <v>1</v>
      </c>
      <c r="N39" s="41">
        <v>1</v>
      </c>
      <c r="O39" s="41">
        <v>0</v>
      </c>
      <c r="P39" s="41">
        <v>1</v>
      </c>
      <c r="Q39" s="41">
        <v>1</v>
      </c>
      <c r="R39" s="41">
        <v>0</v>
      </c>
      <c r="S39" s="25">
        <f t="shared" si="1"/>
        <v>4</v>
      </c>
      <c r="T39" s="41">
        <v>0</v>
      </c>
      <c r="U39" s="41">
        <v>1</v>
      </c>
      <c r="V39" s="25">
        <f t="shared" si="15"/>
        <v>1</v>
      </c>
      <c r="W39" s="41">
        <v>0</v>
      </c>
      <c r="X39" s="41">
        <v>0</v>
      </c>
      <c r="Y39" s="25">
        <f t="shared" si="3"/>
        <v>0</v>
      </c>
      <c r="Z39" s="36"/>
      <c r="AA39" s="37">
        <f t="shared" si="4"/>
        <v>0.66666666666666663</v>
      </c>
      <c r="AB39" s="37">
        <f t="shared" si="5"/>
        <v>0.66666666666666663</v>
      </c>
      <c r="AC39" s="37">
        <f t="shared" si="6"/>
        <v>0.5</v>
      </c>
      <c r="AD39" s="37">
        <f t="shared" si="7"/>
        <v>0</v>
      </c>
      <c r="AE39" s="28">
        <v>9</v>
      </c>
      <c r="AF39" s="28">
        <v>7</v>
      </c>
      <c r="AG39" s="29" t="str">
        <f t="shared" si="8"/>
        <v>F</v>
      </c>
      <c r="AH39" s="29">
        <f t="shared" si="12"/>
        <v>9</v>
      </c>
      <c r="AI39" s="104" t="s">
        <v>35</v>
      </c>
      <c r="AJ39" s="105"/>
      <c r="AK39" s="104"/>
      <c r="AL39" s="105"/>
      <c r="AM39" s="77"/>
      <c r="AN39" s="77"/>
      <c r="AO39" s="30" t="str">
        <f t="shared" si="16"/>
        <v>차시예정</v>
      </c>
      <c r="AP39" s="30" t="str">
        <f t="shared" si="17"/>
        <v>-</v>
      </c>
      <c r="AQ39" s="30" t="str">
        <f t="shared" si="14"/>
        <v>차시예정</v>
      </c>
      <c r="AR39" s="30"/>
      <c r="AS39" s="30"/>
      <c r="AT39" s="30" t="s">
        <v>83</v>
      </c>
      <c r="AU39" s="29">
        <f t="shared" si="11"/>
        <v>3</v>
      </c>
      <c r="AV39" s="45"/>
      <c r="AW39" s="46"/>
    </row>
    <row r="40" spans="1:50" ht="24.95" customHeight="1" x14ac:dyDescent="0.3">
      <c r="A40" s="119"/>
      <c r="B40" s="21"/>
      <c r="C40" s="21"/>
      <c r="D40" s="21"/>
      <c r="E40" s="41"/>
      <c r="F40" s="41"/>
      <c r="G40" s="41"/>
      <c r="H40" s="41"/>
      <c r="I40" s="41"/>
      <c r="J40" s="41"/>
      <c r="K40" s="41"/>
      <c r="L40" s="24">
        <f t="shared" si="0"/>
        <v>0</v>
      </c>
      <c r="M40" s="41"/>
      <c r="N40" s="41"/>
      <c r="O40" s="41"/>
      <c r="P40" s="41"/>
      <c r="Q40" s="41"/>
      <c r="R40" s="41"/>
      <c r="S40" s="25">
        <f t="shared" si="1"/>
        <v>0</v>
      </c>
      <c r="T40" s="41"/>
      <c r="U40" s="41"/>
      <c r="V40" s="25">
        <f t="shared" si="15"/>
        <v>0</v>
      </c>
      <c r="W40" s="41"/>
      <c r="X40" s="41"/>
      <c r="Y40" s="25">
        <f t="shared" si="3"/>
        <v>0</v>
      </c>
      <c r="Z40" s="36"/>
      <c r="AA40" s="37">
        <f t="shared" si="4"/>
        <v>0</v>
      </c>
      <c r="AB40" s="37">
        <f t="shared" si="5"/>
        <v>0</v>
      </c>
      <c r="AC40" s="37">
        <f t="shared" si="6"/>
        <v>0</v>
      </c>
      <c r="AD40" s="37">
        <f t="shared" si="7"/>
        <v>0</v>
      </c>
      <c r="AE40" s="28">
        <v>0</v>
      </c>
      <c r="AF40" s="28">
        <v>12</v>
      </c>
      <c r="AG40" s="29" t="str">
        <f t="shared" si="8"/>
        <v>F</v>
      </c>
      <c r="AH40" s="29">
        <f t="shared" si="12"/>
        <v>0</v>
      </c>
      <c r="AI40" s="104" t="s">
        <v>35</v>
      </c>
      <c r="AJ40" s="105"/>
      <c r="AK40" s="104"/>
      <c r="AL40" s="105"/>
      <c r="AM40" s="77"/>
      <c r="AN40" s="77"/>
      <c r="AO40" s="30" t="str">
        <f t="shared" si="16"/>
        <v>차시예정</v>
      </c>
      <c r="AP40" s="30" t="str">
        <f t="shared" si="17"/>
        <v>-</v>
      </c>
      <c r="AQ40" s="30" t="str">
        <f t="shared" si="14"/>
        <v>차시예정</v>
      </c>
      <c r="AR40" s="38"/>
      <c r="AS40" s="38"/>
      <c r="AT40" s="38"/>
      <c r="AU40" s="29">
        <f t="shared" si="11"/>
        <v>2</v>
      </c>
      <c r="AV40" s="45"/>
      <c r="AW40" s="46"/>
    </row>
    <row r="41" spans="1:50" s="20" customFormat="1" ht="24.95" customHeight="1" x14ac:dyDescent="0.3">
      <c r="A41" s="119"/>
      <c r="B41" s="21"/>
      <c r="C41" s="21"/>
      <c r="D41" s="21"/>
      <c r="E41" s="41"/>
      <c r="F41" s="41"/>
      <c r="G41" s="41"/>
      <c r="H41" s="41"/>
      <c r="I41" s="41"/>
      <c r="J41" s="41"/>
      <c r="K41" s="41"/>
      <c r="L41" s="24">
        <f t="shared" si="0"/>
        <v>0</v>
      </c>
      <c r="M41" s="41"/>
      <c r="N41" s="41"/>
      <c r="O41" s="41"/>
      <c r="P41" s="41"/>
      <c r="Q41" s="41"/>
      <c r="R41" s="41"/>
      <c r="S41" s="25">
        <f t="shared" si="1"/>
        <v>0</v>
      </c>
      <c r="T41" s="41"/>
      <c r="U41" s="41"/>
      <c r="V41" s="25">
        <f t="shared" si="15"/>
        <v>0</v>
      </c>
      <c r="W41" s="41"/>
      <c r="X41" s="41"/>
      <c r="Y41" s="25">
        <f t="shared" si="3"/>
        <v>0</v>
      </c>
      <c r="Z41" s="36"/>
      <c r="AA41" s="37">
        <f t="shared" si="4"/>
        <v>0</v>
      </c>
      <c r="AB41" s="37">
        <f t="shared" si="5"/>
        <v>0</v>
      </c>
      <c r="AC41" s="37">
        <f t="shared" si="6"/>
        <v>0</v>
      </c>
      <c r="AD41" s="37">
        <f t="shared" si="7"/>
        <v>0</v>
      </c>
      <c r="AE41" s="28">
        <v>0</v>
      </c>
      <c r="AF41" s="28">
        <v>12</v>
      </c>
      <c r="AG41" s="29" t="str">
        <f t="shared" si="8"/>
        <v>F</v>
      </c>
      <c r="AH41" s="29">
        <f t="shared" si="12"/>
        <v>0</v>
      </c>
      <c r="AI41" s="104" t="s">
        <v>35</v>
      </c>
      <c r="AJ41" s="105"/>
      <c r="AK41" s="104"/>
      <c r="AL41" s="105"/>
      <c r="AM41" s="77"/>
      <c r="AN41" s="77"/>
      <c r="AO41" s="30" t="str">
        <f t="shared" si="16"/>
        <v>차시예정</v>
      </c>
      <c r="AP41" s="30" t="str">
        <f t="shared" si="17"/>
        <v>-</v>
      </c>
      <c r="AQ41" s="30" t="str">
        <f t="shared" si="14"/>
        <v>차시예정</v>
      </c>
      <c r="AR41" s="38"/>
      <c r="AS41" s="38"/>
      <c r="AT41" s="38"/>
      <c r="AU41" s="29">
        <f t="shared" si="11"/>
        <v>2</v>
      </c>
      <c r="AV41" s="45"/>
      <c r="AW41" s="46"/>
      <c r="AX41" s="47"/>
    </row>
    <row r="42" spans="1:50" s="20" customFormat="1" ht="24.95" customHeight="1" x14ac:dyDescent="0.3">
      <c r="A42" s="119"/>
      <c r="B42" s="21"/>
      <c r="C42" s="21"/>
      <c r="D42" s="21"/>
      <c r="E42" s="41"/>
      <c r="F42" s="41"/>
      <c r="G42" s="41"/>
      <c r="H42" s="41"/>
      <c r="I42" s="41"/>
      <c r="J42" s="41"/>
      <c r="K42" s="41"/>
      <c r="L42" s="24">
        <f t="shared" si="0"/>
        <v>0</v>
      </c>
      <c r="M42" s="41"/>
      <c r="N42" s="41"/>
      <c r="O42" s="41"/>
      <c r="P42" s="41"/>
      <c r="Q42" s="41"/>
      <c r="R42" s="41"/>
      <c r="S42" s="25">
        <f t="shared" si="1"/>
        <v>0</v>
      </c>
      <c r="T42" s="41"/>
      <c r="U42" s="41"/>
      <c r="V42" s="25">
        <f t="shared" si="15"/>
        <v>0</v>
      </c>
      <c r="W42" s="41"/>
      <c r="X42" s="41"/>
      <c r="Y42" s="25">
        <f t="shared" si="3"/>
        <v>0</v>
      </c>
      <c r="Z42" s="36"/>
      <c r="AA42" s="37">
        <f t="shared" si="4"/>
        <v>0</v>
      </c>
      <c r="AB42" s="37">
        <f t="shared" si="5"/>
        <v>0</v>
      </c>
      <c r="AC42" s="37">
        <f t="shared" si="6"/>
        <v>0</v>
      </c>
      <c r="AD42" s="37">
        <f t="shared" si="7"/>
        <v>0</v>
      </c>
      <c r="AE42" s="28">
        <v>0</v>
      </c>
      <c r="AF42" s="28">
        <v>12</v>
      </c>
      <c r="AG42" s="29" t="str">
        <f t="shared" si="8"/>
        <v>F</v>
      </c>
      <c r="AH42" s="29">
        <f t="shared" si="12"/>
        <v>0</v>
      </c>
      <c r="AI42" s="104" t="s">
        <v>35</v>
      </c>
      <c r="AJ42" s="105"/>
      <c r="AK42" s="104"/>
      <c r="AL42" s="105"/>
      <c r="AM42" s="77"/>
      <c r="AN42" s="77"/>
      <c r="AO42" s="30" t="str">
        <f t="shared" si="16"/>
        <v>차시예정</v>
      </c>
      <c r="AP42" s="30" t="str">
        <f t="shared" si="17"/>
        <v>-</v>
      </c>
      <c r="AQ42" s="30" t="str">
        <f t="shared" ref="AQ42:AQ74" si="18">IF(AK42="P", "-","차시예정")</f>
        <v>차시예정</v>
      </c>
      <c r="AR42" s="38"/>
      <c r="AS42" s="38"/>
      <c r="AT42" s="38"/>
      <c r="AU42" s="29">
        <f>COUNTIF(AO42:AT42, "차시예정")+COUNTIF(AO42:AT42, "X")</f>
        <v>2</v>
      </c>
      <c r="AV42" s="45"/>
      <c r="AW42" s="46"/>
      <c r="AX42" s="47"/>
    </row>
    <row r="43" spans="1:50" s="20" customFormat="1" ht="24.95" customHeight="1" x14ac:dyDescent="0.3">
      <c r="A43" s="119"/>
      <c r="B43" s="21"/>
      <c r="C43" s="21"/>
      <c r="D43" s="21"/>
      <c r="E43" s="41"/>
      <c r="F43" s="41"/>
      <c r="G43" s="41"/>
      <c r="H43" s="41"/>
      <c r="I43" s="41"/>
      <c r="J43" s="41"/>
      <c r="K43" s="41"/>
      <c r="L43" s="24">
        <f t="shared" si="0"/>
        <v>0</v>
      </c>
      <c r="M43" s="41"/>
      <c r="N43" s="41"/>
      <c r="O43" s="41"/>
      <c r="P43" s="41"/>
      <c r="Q43" s="41"/>
      <c r="R43" s="41"/>
      <c r="S43" s="25">
        <f t="shared" si="1"/>
        <v>0</v>
      </c>
      <c r="T43" s="41"/>
      <c r="U43" s="41"/>
      <c r="V43" s="25">
        <f t="shared" si="15"/>
        <v>0</v>
      </c>
      <c r="W43" s="41"/>
      <c r="X43" s="41"/>
      <c r="Y43" s="25">
        <f t="shared" si="3"/>
        <v>0</v>
      </c>
      <c r="Z43" s="36"/>
      <c r="AA43" s="37">
        <f t="shared" si="4"/>
        <v>0</v>
      </c>
      <c r="AB43" s="37">
        <f t="shared" si="5"/>
        <v>0</v>
      </c>
      <c r="AC43" s="37">
        <f t="shared" si="6"/>
        <v>0</v>
      </c>
      <c r="AD43" s="37">
        <f t="shared" si="7"/>
        <v>0</v>
      </c>
      <c r="AE43" s="28">
        <v>0</v>
      </c>
      <c r="AF43" s="28">
        <v>12</v>
      </c>
      <c r="AG43" s="29" t="str">
        <f t="shared" si="8"/>
        <v>F</v>
      </c>
      <c r="AH43" s="29">
        <f t="shared" si="12"/>
        <v>0</v>
      </c>
      <c r="AI43" s="104" t="s">
        <v>35</v>
      </c>
      <c r="AJ43" s="105"/>
      <c r="AK43" s="104"/>
      <c r="AL43" s="105"/>
      <c r="AM43" s="77"/>
      <c r="AN43" s="77"/>
      <c r="AO43" s="30" t="str">
        <f t="shared" si="16"/>
        <v>차시예정</v>
      </c>
      <c r="AP43" s="30" t="str">
        <f t="shared" si="17"/>
        <v>-</v>
      </c>
      <c r="AQ43" s="30" t="str">
        <f t="shared" si="18"/>
        <v>차시예정</v>
      </c>
      <c r="AR43" s="38"/>
      <c r="AS43" s="38"/>
      <c r="AT43" s="38"/>
      <c r="AU43" s="29">
        <f t="shared" si="11"/>
        <v>2</v>
      </c>
      <c r="AV43" s="45"/>
      <c r="AW43" s="46"/>
    </row>
    <row r="44" spans="1:50" s="20" customFormat="1" ht="24.95" customHeight="1" x14ac:dyDescent="0.3">
      <c r="A44" s="119"/>
      <c r="B44" s="21"/>
      <c r="C44" s="21"/>
      <c r="D44" s="21"/>
      <c r="E44" s="41"/>
      <c r="F44" s="41">
        <v>1</v>
      </c>
      <c r="G44" s="41">
        <v>0</v>
      </c>
      <c r="H44" s="41">
        <v>0</v>
      </c>
      <c r="I44" s="41">
        <v>1</v>
      </c>
      <c r="J44" s="41">
        <v>1</v>
      </c>
      <c r="K44" s="41">
        <v>0</v>
      </c>
      <c r="L44" s="24">
        <f t="shared" si="0"/>
        <v>3</v>
      </c>
      <c r="M44" s="41">
        <v>1</v>
      </c>
      <c r="N44" s="41">
        <v>0</v>
      </c>
      <c r="O44" s="41">
        <v>1</v>
      </c>
      <c r="P44" s="41">
        <v>0</v>
      </c>
      <c r="Q44" s="41">
        <v>0</v>
      </c>
      <c r="R44" s="41">
        <v>1</v>
      </c>
      <c r="S44" s="25">
        <f t="shared" si="1"/>
        <v>3</v>
      </c>
      <c r="T44" s="41">
        <v>1</v>
      </c>
      <c r="U44" s="41">
        <v>0</v>
      </c>
      <c r="V44" s="25">
        <f t="shared" si="15"/>
        <v>1</v>
      </c>
      <c r="W44" s="41">
        <v>0</v>
      </c>
      <c r="X44" s="41">
        <v>0</v>
      </c>
      <c r="Y44" s="25">
        <f t="shared" si="3"/>
        <v>0</v>
      </c>
      <c r="Z44" s="36"/>
      <c r="AA44" s="37">
        <f t="shared" si="4"/>
        <v>0.5</v>
      </c>
      <c r="AB44" s="37">
        <f t="shared" si="5"/>
        <v>0.5</v>
      </c>
      <c r="AC44" s="37">
        <f t="shared" si="6"/>
        <v>0.5</v>
      </c>
      <c r="AD44" s="37">
        <f t="shared" si="7"/>
        <v>0</v>
      </c>
      <c r="AE44" s="28">
        <v>7</v>
      </c>
      <c r="AF44" s="28">
        <v>10</v>
      </c>
      <c r="AG44" s="29" t="str">
        <f t="shared" si="8"/>
        <v>F</v>
      </c>
      <c r="AH44" s="29">
        <f t="shared" si="12"/>
        <v>7</v>
      </c>
      <c r="AI44" s="104" t="s">
        <v>35</v>
      </c>
      <c r="AJ44" s="105"/>
      <c r="AK44" s="104"/>
      <c r="AL44" s="105"/>
      <c r="AM44" s="77"/>
      <c r="AN44" s="77"/>
      <c r="AO44" s="30" t="str">
        <f t="shared" si="16"/>
        <v>차시예정</v>
      </c>
      <c r="AP44" s="30" t="str">
        <f t="shared" si="17"/>
        <v>-</v>
      </c>
      <c r="AQ44" s="30" t="str">
        <f t="shared" si="18"/>
        <v>차시예정</v>
      </c>
      <c r="AR44" s="38"/>
      <c r="AS44" s="38"/>
      <c r="AT44" s="38" t="s">
        <v>103</v>
      </c>
      <c r="AU44" s="29">
        <f t="shared" si="11"/>
        <v>2</v>
      </c>
      <c r="AV44" s="45"/>
      <c r="AW44" s="46"/>
    </row>
    <row r="45" spans="1:50" s="20" customFormat="1" ht="24.95" customHeight="1" x14ac:dyDescent="0.3">
      <c r="A45" s="119"/>
      <c r="B45" s="21"/>
      <c r="C45" s="21"/>
      <c r="D45" s="21"/>
      <c r="E45" s="41"/>
      <c r="F45" s="41"/>
      <c r="G45" s="41"/>
      <c r="H45" s="41"/>
      <c r="I45" s="41"/>
      <c r="J45" s="41"/>
      <c r="K45" s="41"/>
      <c r="L45" s="24">
        <f t="shared" si="0"/>
        <v>0</v>
      </c>
      <c r="M45" s="41"/>
      <c r="N45" s="41"/>
      <c r="O45" s="41"/>
      <c r="P45" s="41"/>
      <c r="Q45" s="41"/>
      <c r="R45" s="41"/>
      <c r="S45" s="25">
        <f t="shared" si="1"/>
        <v>0</v>
      </c>
      <c r="T45" s="41"/>
      <c r="U45" s="41"/>
      <c r="V45" s="25">
        <f t="shared" si="15"/>
        <v>0</v>
      </c>
      <c r="W45" s="41"/>
      <c r="X45" s="41"/>
      <c r="Y45" s="25">
        <f t="shared" si="3"/>
        <v>0</v>
      </c>
      <c r="Z45" s="36"/>
      <c r="AA45" s="37">
        <f t="shared" si="4"/>
        <v>0</v>
      </c>
      <c r="AB45" s="37">
        <f t="shared" si="5"/>
        <v>0</v>
      </c>
      <c r="AC45" s="37">
        <f t="shared" si="6"/>
        <v>0</v>
      </c>
      <c r="AD45" s="37">
        <f t="shared" si="7"/>
        <v>0</v>
      </c>
      <c r="AE45" s="28">
        <v>0</v>
      </c>
      <c r="AF45" s="28">
        <v>12</v>
      </c>
      <c r="AG45" s="29" t="str">
        <f t="shared" si="8"/>
        <v>F</v>
      </c>
      <c r="AH45" s="29">
        <f t="shared" si="12"/>
        <v>0</v>
      </c>
      <c r="AI45" s="104" t="s">
        <v>35</v>
      </c>
      <c r="AJ45" s="105"/>
      <c r="AK45" s="104"/>
      <c r="AL45" s="105"/>
      <c r="AM45" s="77"/>
      <c r="AN45" s="77"/>
      <c r="AO45" s="30" t="str">
        <f t="shared" si="16"/>
        <v>차시예정</v>
      </c>
      <c r="AP45" s="30" t="str">
        <f t="shared" si="17"/>
        <v>-</v>
      </c>
      <c r="AQ45" s="30" t="str">
        <f t="shared" si="18"/>
        <v>차시예정</v>
      </c>
      <c r="AR45" s="38"/>
      <c r="AS45" s="38"/>
      <c r="AT45" s="38"/>
      <c r="AU45" s="29">
        <f t="shared" si="11"/>
        <v>2</v>
      </c>
      <c r="AV45" s="45"/>
      <c r="AW45" s="46"/>
    </row>
    <row r="46" spans="1:50" s="20" customFormat="1" ht="24.95" customHeight="1" x14ac:dyDescent="0.3">
      <c r="A46" s="119"/>
      <c r="B46" s="21"/>
      <c r="C46" s="21"/>
      <c r="D46" s="21"/>
      <c r="E46" s="41"/>
      <c r="F46" s="41"/>
      <c r="G46" s="41"/>
      <c r="H46" s="41"/>
      <c r="I46" s="41"/>
      <c r="J46" s="41"/>
      <c r="K46" s="41"/>
      <c r="L46" s="24">
        <f t="shared" si="0"/>
        <v>0</v>
      </c>
      <c r="M46" s="41"/>
      <c r="N46" s="41"/>
      <c r="O46" s="41"/>
      <c r="P46" s="41"/>
      <c r="Q46" s="41"/>
      <c r="R46" s="41"/>
      <c r="S46" s="25">
        <f t="shared" si="1"/>
        <v>0</v>
      </c>
      <c r="T46" s="41"/>
      <c r="U46" s="41"/>
      <c r="V46" s="25">
        <f t="shared" si="15"/>
        <v>0</v>
      </c>
      <c r="W46" s="41"/>
      <c r="X46" s="41"/>
      <c r="Y46" s="25">
        <f t="shared" si="3"/>
        <v>0</v>
      </c>
      <c r="Z46" s="36"/>
      <c r="AA46" s="37">
        <f t="shared" si="4"/>
        <v>0</v>
      </c>
      <c r="AB46" s="37">
        <f t="shared" si="5"/>
        <v>0</v>
      </c>
      <c r="AC46" s="37">
        <f t="shared" si="6"/>
        <v>0</v>
      </c>
      <c r="AD46" s="37">
        <f t="shared" si="7"/>
        <v>0</v>
      </c>
      <c r="AE46" s="28">
        <v>0</v>
      </c>
      <c r="AF46" s="28">
        <v>12</v>
      </c>
      <c r="AG46" s="29" t="str">
        <f t="shared" si="8"/>
        <v>F</v>
      </c>
      <c r="AH46" s="29">
        <f t="shared" si="12"/>
        <v>0</v>
      </c>
      <c r="AI46" s="104" t="s">
        <v>35</v>
      </c>
      <c r="AJ46" s="105"/>
      <c r="AK46" s="104"/>
      <c r="AL46" s="105"/>
      <c r="AM46" s="77"/>
      <c r="AN46" s="77"/>
      <c r="AO46" s="30" t="str">
        <f t="shared" si="16"/>
        <v>차시예정</v>
      </c>
      <c r="AP46" s="30" t="str">
        <f t="shared" si="17"/>
        <v>-</v>
      </c>
      <c r="AQ46" s="30" t="str">
        <f t="shared" si="18"/>
        <v>차시예정</v>
      </c>
      <c r="AR46" s="38"/>
      <c r="AS46" s="38"/>
      <c r="AT46" s="38"/>
      <c r="AU46" s="29">
        <f t="shared" si="11"/>
        <v>2</v>
      </c>
      <c r="AV46" s="45"/>
      <c r="AW46" s="46"/>
    </row>
    <row r="47" spans="1:50" s="20" customFormat="1" ht="24.95" customHeight="1" x14ac:dyDescent="0.3">
      <c r="A47" s="119"/>
      <c r="B47" s="21"/>
      <c r="C47" s="21"/>
      <c r="D47" s="21"/>
      <c r="E47" s="41"/>
      <c r="F47" s="41"/>
      <c r="G47" s="41"/>
      <c r="H47" s="41"/>
      <c r="I47" s="41"/>
      <c r="J47" s="41"/>
      <c r="K47" s="41"/>
      <c r="L47" s="24">
        <f t="shared" si="0"/>
        <v>0</v>
      </c>
      <c r="M47" s="41"/>
      <c r="N47" s="41"/>
      <c r="O47" s="41"/>
      <c r="P47" s="41"/>
      <c r="Q47" s="41"/>
      <c r="R47" s="41"/>
      <c r="S47" s="25">
        <f t="shared" si="1"/>
        <v>0</v>
      </c>
      <c r="T47" s="41"/>
      <c r="U47" s="41"/>
      <c r="V47" s="25">
        <f t="shared" si="15"/>
        <v>0</v>
      </c>
      <c r="W47" s="41"/>
      <c r="X47" s="41"/>
      <c r="Y47" s="25">
        <f t="shared" si="3"/>
        <v>0</v>
      </c>
      <c r="Z47" s="36"/>
      <c r="AA47" s="37">
        <f t="shared" si="4"/>
        <v>0</v>
      </c>
      <c r="AB47" s="37">
        <f t="shared" si="5"/>
        <v>0</v>
      </c>
      <c r="AC47" s="37">
        <f t="shared" si="6"/>
        <v>0</v>
      </c>
      <c r="AD47" s="37">
        <f t="shared" si="7"/>
        <v>0</v>
      </c>
      <c r="AE47" s="28">
        <v>0</v>
      </c>
      <c r="AF47" s="28">
        <v>12</v>
      </c>
      <c r="AG47" s="29" t="str">
        <f t="shared" si="8"/>
        <v>F</v>
      </c>
      <c r="AH47" s="29">
        <f t="shared" si="12"/>
        <v>0</v>
      </c>
      <c r="AI47" s="104" t="s">
        <v>35</v>
      </c>
      <c r="AJ47" s="105"/>
      <c r="AK47" s="104"/>
      <c r="AL47" s="105"/>
      <c r="AM47" s="77"/>
      <c r="AN47" s="77"/>
      <c r="AO47" s="30" t="str">
        <f t="shared" si="16"/>
        <v>차시예정</v>
      </c>
      <c r="AP47" s="30" t="str">
        <f t="shared" si="17"/>
        <v>-</v>
      </c>
      <c r="AQ47" s="30" t="str">
        <f t="shared" si="18"/>
        <v>차시예정</v>
      </c>
      <c r="AR47" s="38"/>
      <c r="AS47" s="38"/>
      <c r="AT47" s="38"/>
      <c r="AU47" s="29">
        <f t="shared" si="11"/>
        <v>2</v>
      </c>
      <c r="AV47" s="45"/>
      <c r="AW47" s="46"/>
    </row>
    <row r="48" spans="1:50" s="20" customFormat="1" ht="24.95" customHeight="1" x14ac:dyDescent="0.3">
      <c r="A48" s="119"/>
      <c r="B48" s="21"/>
      <c r="C48" s="21"/>
      <c r="D48" s="21"/>
      <c r="E48" s="41"/>
      <c r="F48" s="41"/>
      <c r="G48" s="41"/>
      <c r="H48" s="41"/>
      <c r="I48" s="41"/>
      <c r="J48" s="41"/>
      <c r="K48" s="41"/>
      <c r="L48" s="24">
        <f t="shared" si="0"/>
        <v>0</v>
      </c>
      <c r="M48" s="41"/>
      <c r="N48" s="41"/>
      <c r="O48" s="41"/>
      <c r="P48" s="41"/>
      <c r="Q48" s="41"/>
      <c r="R48" s="41"/>
      <c r="S48" s="25">
        <f t="shared" si="1"/>
        <v>0</v>
      </c>
      <c r="T48" s="41"/>
      <c r="U48" s="41"/>
      <c r="V48" s="25">
        <f t="shared" si="15"/>
        <v>0</v>
      </c>
      <c r="W48" s="41"/>
      <c r="X48" s="41"/>
      <c r="Y48" s="25">
        <f t="shared" si="3"/>
        <v>0</v>
      </c>
      <c r="Z48" s="36"/>
      <c r="AA48" s="37">
        <f t="shared" si="4"/>
        <v>0</v>
      </c>
      <c r="AB48" s="37">
        <f t="shared" si="5"/>
        <v>0</v>
      </c>
      <c r="AC48" s="37">
        <f t="shared" si="6"/>
        <v>0</v>
      </c>
      <c r="AD48" s="37">
        <f t="shared" si="7"/>
        <v>0</v>
      </c>
      <c r="AE48" s="28">
        <v>0</v>
      </c>
      <c r="AF48" s="28"/>
      <c r="AG48" s="29" t="str">
        <f t="shared" si="8"/>
        <v>F</v>
      </c>
      <c r="AH48" s="29">
        <f t="shared" si="12"/>
        <v>0</v>
      </c>
      <c r="AI48" s="104" t="s">
        <v>80</v>
      </c>
      <c r="AJ48" s="105"/>
      <c r="AK48" s="104"/>
      <c r="AL48" s="105"/>
      <c r="AM48" s="77"/>
      <c r="AN48" s="77"/>
      <c r="AO48" s="30" t="str">
        <f t="shared" si="16"/>
        <v>차시예정</v>
      </c>
      <c r="AP48" s="30" t="str">
        <f t="shared" si="17"/>
        <v>-</v>
      </c>
      <c r="AQ48" s="30" t="str">
        <f t="shared" si="18"/>
        <v>차시예정</v>
      </c>
      <c r="AR48" s="38"/>
      <c r="AS48" s="38"/>
      <c r="AT48" s="38"/>
      <c r="AU48" s="29">
        <f t="shared" si="11"/>
        <v>2</v>
      </c>
      <c r="AV48" s="45"/>
      <c r="AW48" s="46"/>
    </row>
    <row r="49" spans="1:51" s="20" customFormat="1" ht="24.95" customHeight="1" x14ac:dyDescent="0.3">
      <c r="A49" s="119"/>
      <c r="B49" s="21"/>
      <c r="C49" s="21"/>
      <c r="D49" s="21"/>
      <c r="E49" s="41"/>
      <c r="F49" s="41"/>
      <c r="G49" s="41"/>
      <c r="H49" s="41"/>
      <c r="I49" s="41"/>
      <c r="J49" s="41"/>
      <c r="K49" s="41"/>
      <c r="L49" s="24">
        <f t="shared" si="0"/>
        <v>0</v>
      </c>
      <c r="M49" s="41"/>
      <c r="N49" s="41"/>
      <c r="O49" s="41"/>
      <c r="P49" s="41"/>
      <c r="Q49" s="41"/>
      <c r="R49" s="41"/>
      <c r="S49" s="25">
        <f t="shared" si="1"/>
        <v>0</v>
      </c>
      <c r="T49" s="41"/>
      <c r="U49" s="41"/>
      <c r="V49" s="25">
        <f t="shared" si="15"/>
        <v>0</v>
      </c>
      <c r="W49" s="41"/>
      <c r="X49" s="41"/>
      <c r="Y49" s="25">
        <f t="shared" si="3"/>
        <v>0</v>
      </c>
      <c r="Z49" s="36"/>
      <c r="AA49" s="37">
        <f t="shared" si="4"/>
        <v>0</v>
      </c>
      <c r="AB49" s="37">
        <f t="shared" si="5"/>
        <v>0</v>
      </c>
      <c r="AC49" s="37">
        <f t="shared" si="6"/>
        <v>0</v>
      </c>
      <c r="AD49" s="37">
        <f t="shared" si="7"/>
        <v>0</v>
      </c>
      <c r="AE49" s="28">
        <v>0</v>
      </c>
      <c r="AF49" s="28">
        <v>12</v>
      </c>
      <c r="AG49" s="29" t="str">
        <f t="shared" si="8"/>
        <v>F</v>
      </c>
      <c r="AH49" s="29">
        <f t="shared" si="12"/>
        <v>0</v>
      </c>
      <c r="AI49" s="104" t="s">
        <v>35</v>
      </c>
      <c r="AJ49" s="105"/>
      <c r="AK49" s="104"/>
      <c r="AL49" s="105"/>
      <c r="AM49" s="77"/>
      <c r="AN49" s="77"/>
      <c r="AO49" s="30" t="str">
        <f t="shared" si="16"/>
        <v>차시예정</v>
      </c>
      <c r="AP49" s="30" t="str">
        <f t="shared" si="17"/>
        <v>-</v>
      </c>
      <c r="AQ49" s="30" t="str">
        <f t="shared" si="18"/>
        <v>차시예정</v>
      </c>
      <c r="AR49" s="38"/>
      <c r="AS49" s="38"/>
      <c r="AT49" s="38"/>
      <c r="AU49" s="29">
        <f t="shared" si="11"/>
        <v>2</v>
      </c>
      <c r="AV49" s="45"/>
      <c r="AW49" s="46"/>
      <c r="AX49" s="47"/>
      <c r="AY49" s="47"/>
    </row>
    <row r="50" spans="1:51" s="20" customFormat="1" ht="24.95" customHeight="1" x14ac:dyDescent="0.3">
      <c r="A50" s="119"/>
      <c r="B50" s="21"/>
      <c r="C50" s="21"/>
      <c r="D50" s="21"/>
      <c r="E50" s="41"/>
      <c r="F50" s="41"/>
      <c r="G50" s="41"/>
      <c r="H50" s="41"/>
      <c r="I50" s="41"/>
      <c r="J50" s="41"/>
      <c r="K50" s="41"/>
      <c r="L50" s="24">
        <f t="shared" si="0"/>
        <v>0</v>
      </c>
      <c r="M50" s="41"/>
      <c r="N50" s="41"/>
      <c r="O50" s="41"/>
      <c r="P50" s="41"/>
      <c r="Q50" s="41"/>
      <c r="R50" s="41"/>
      <c r="S50" s="25">
        <f t="shared" si="1"/>
        <v>0</v>
      </c>
      <c r="T50" s="41"/>
      <c r="U50" s="41"/>
      <c r="V50" s="25">
        <f t="shared" si="15"/>
        <v>0</v>
      </c>
      <c r="W50" s="41"/>
      <c r="X50" s="41"/>
      <c r="Y50" s="25">
        <f t="shared" si="3"/>
        <v>0</v>
      </c>
      <c r="Z50" s="36"/>
      <c r="AA50" s="37">
        <f t="shared" si="4"/>
        <v>0</v>
      </c>
      <c r="AB50" s="37">
        <f t="shared" si="5"/>
        <v>0</v>
      </c>
      <c r="AC50" s="37">
        <f t="shared" si="6"/>
        <v>0</v>
      </c>
      <c r="AD50" s="37">
        <f t="shared" si="7"/>
        <v>0</v>
      </c>
      <c r="AE50" s="28">
        <v>0</v>
      </c>
      <c r="AF50" s="28">
        <v>12</v>
      </c>
      <c r="AG50" s="29" t="str">
        <f t="shared" si="8"/>
        <v>F</v>
      </c>
      <c r="AH50" s="29">
        <f t="shared" si="12"/>
        <v>0</v>
      </c>
      <c r="AI50" s="104" t="s">
        <v>35</v>
      </c>
      <c r="AJ50" s="105"/>
      <c r="AK50" s="104"/>
      <c r="AL50" s="105"/>
      <c r="AM50" s="77"/>
      <c r="AN50" s="77"/>
      <c r="AO50" s="30" t="str">
        <f t="shared" si="16"/>
        <v>차시예정</v>
      </c>
      <c r="AP50" s="30" t="str">
        <f t="shared" si="17"/>
        <v>-</v>
      </c>
      <c r="AQ50" s="30" t="str">
        <f t="shared" si="18"/>
        <v>차시예정</v>
      </c>
      <c r="AR50" s="38"/>
      <c r="AS50" s="38"/>
      <c r="AT50" s="38"/>
      <c r="AU50" s="29">
        <f t="shared" si="11"/>
        <v>2</v>
      </c>
      <c r="AV50" s="45"/>
      <c r="AW50" s="46"/>
    </row>
    <row r="51" spans="1:51" ht="24.95" customHeight="1" x14ac:dyDescent="0.3">
      <c r="A51" s="119"/>
      <c r="B51" s="21"/>
      <c r="C51" s="21"/>
      <c r="D51" s="21"/>
      <c r="E51" s="41"/>
      <c r="F51" s="41"/>
      <c r="G51" s="41"/>
      <c r="H51" s="41"/>
      <c r="I51" s="41"/>
      <c r="J51" s="41"/>
      <c r="K51" s="41"/>
      <c r="L51" s="24">
        <f t="shared" si="0"/>
        <v>0</v>
      </c>
      <c r="M51" s="41"/>
      <c r="N51" s="41"/>
      <c r="O51" s="41"/>
      <c r="P51" s="41"/>
      <c r="Q51" s="41"/>
      <c r="R51" s="41"/>
      <c r="S51" s="25">
        <f t="shared" si="1"/>
        <v>0</v>
      </c>
      <c r="T51" s="41"/>
      <c r="U51" s="41"/>
      <c r="V51" s="25">
        <f t="shared" si="15"/>
        <v>0</v>
      </c>
      <c r="W51" s="41"/>
      <c r="X51" s="41"/>
      <c r="Y51" s="25">
        <f t="shared" si="3"/>
        <v>0</v>
      </c>
      <c r="Z51" s="36"/>
      <c r="AA51" s="37">
        <f t="shared" si="4"/>
        <v>0</v>
      </c>
      <c r="AB51" s="37">
        <f t="shared" si="5"/>
        <v>0</v>
      </c>
      <c r="AC51" s="37">
        <f t="shared" si="6"/>
        <v>0</v>
      </c>
      <c r="AD51" s="37">
        <f t="shared" si="7"/>
        <v>0</v>
      </c>
      <c r="AE51" s="28">
        <v>0</v>
      </c>
      <c r="AF51" s="28">
        <v>12</v>
      </c>
      <c r="AG51" s="29" t="str">
        <f t="shared" si="8"/>
        <v>F</v>
      </c>
      <c r="AH51" s="29">
        <f t="shared" si="12"/>
        <v>0</v>
      </c>
      <c r="AI51" s="104" t="s">
        <v>35</v>
      </c>
      <c r="AJ51" s="105"/>
      <c r="AK51" s="104"/>
      <c r="AL51" s="105"/>
      <c r="AM51" s="77"/>
      <c r="AN51" s="77"/>
      <c r="AO51" s="30" t="str">
        <f t="shared" si="16"/>
        <v>차시예정</v>
      </c>
      <c r="AP51" s="30" t="str">
        <f t="shared" si="17"/>
        <v>-</v>
      </c>
      <c r="AQ51" s="30" t="str">
        <f t="shared" si="18"/>
        <v>차시예정</v>
      </c>
      <c r="AR51" s="38"/>
      <c r="AS51" s="38"/>
      <c r="AT51" s="38"/>
      <c r="AU51" s="29">
        <f t="shared" si="11"/>
        <v>2</v>
      </c>
      <c r="AV51" s="45"/>
      <c r="AW51" s="46"/>
    </row>
    <row r="52" spans="1:51" ht="24.95" customHeight="1" x14ac:dyDescent="0.3">
      <c r="A52" s="119"/>
      <c r="B52" s="21"/>
      <c r="C52" s="21"/>
      <c r="D52" s="21"/>
      <c r="E52" s="41"/>
      <c r="F52" s="41"/>
      <c r="G52" s="41"/>
      <c r="H52" s="41"/>
      <c r="I52" s="41"/>
      <c r="J52" s="41"/>
      <c r="K52" s="41"/>
      <c r="L52" s="24">
        <f>SUM(F52:K52)</f>
        <v>0</v>
      </c>
      <c r="M52" s="41"/>
      <c r="N52" s="41"/>
      <c r="O52" s="41"/>
      <c r="P52" s="41"/>
      <c r="Q52" s="41"/>
      <c r="R52" s="41"/>
      <c r="S52" s="25">
        <f t="shared" si="1"/>
        <v>0</v>
      </c>
      <c r="T52" s="41"/>
      <c r="U52" s="41"/>
      <c r="V52" s="25">
        <f t="shared" si="15"/>
        <v>0</v>
      </c>
      <c r="W52" s="41"/>
      <c r="X52" s="41"/>
      <c r="Y52" s="25">
        <f t="shared" si="3"/>
        <v>0</v>
      </c>
      <c r="Z52" s="36"/>
      <c r="AA52" s="37">
        <f t="shared" si="4"/>
        <v>0</v>
      </c>
      <c r="AB52" s="37">
        <f t="shared" si="5"/>
        <v>0</v>
      </c>
      <c r="AC52" s="37">
        <f t="shared" si="6"/>
        <v>0</v>
      </c>
      <c r="AD52" s="37">
        <f t="shared" si="7"/>
        <v>0</v>
      </c>
      <c r="AE52" s="28">
        <v>0</v>
      </c>
      <c r="AF52" s="28">
        <v>12</v>
      </c>
      <c r="AG52" s="29" t="str">
        <f t="shared" si="8"/>
        <v>F</v>
      </c>
      <c r="AH52" s="29">
        <f t="shared" si="12"/>
        <v>0</v>
      </c>
      <c r="AI52" s="104" t="s">
        <v>35</v>
      </c>
      <c r="AJ52" s="105"/>
      <c r="AK52" s="104"/>
      <c r="AL52" s="105"/>
      <c r="AM52" s="77"/>
      <c r="AN52" s="77"/>
      <c r="AO52" s="30" t="str">
        <f t="shared" si="16"/>
        <v>차시예정</v>
      </c>
      <c r="AP52" s="30" t="str">
        <f t="shared" si="17"/>
        <v>-</v>
      </c>
      <c r="AQ52" s="30" t="str">
        <f t="shared" si="18"/>
        <v>차시예정</v>
      </c>
      <c r="AR52" s="38"/>
      <c r="AS52" s="38"/>
      <c r="AT52" s="38"/>
      <c r="AU52" s="29">
        <f t="shared" si="11"/>
        <v>2</v>
      </c>
      <c r="AV52" s="45"/>
      <c r="AW52" s="46"/>
    </row>
    <row r="53" spans="1:51" ht="24.95" customHeight="1" x14ac:dyDescent="0.3">
      <c r="A53" s="119"/>
      <c r="B53" s="21"/>
      <c r="C53" s="21"/>
      <c r="D53" s="21"/>
      <c r="E53" s="41"/>
      <c r="F53" s="41"/>
      <c r="G53" s="41"/>
      <c r="H53" s="41"/>
      <c r="I53" s="41"/>
      <c r="J53" s="41"/>
      <c r="K53" s="41"/>
      <c r="L53" s="24">
        <f t="shared" ref="L53:L81" si="19">SUM(F53:K53)</f>
        <v>0</v>
      </c>
      <c r="M53" s="41"/>
      <c r="N53" s="41"/>
      <c r="O53" s="41"/>
      <c r="P53" s="41"/>
      <c r="Q53" s="41"/>
      <c r="R53" s="41"/>
      <c r="S53" s="25">
        <f t="shared" si="1"/>
        <v>0</v>
      </c>
      <c r="T53" s="41"/>
      <c r="U53" s="41"/>
      <c r="V53" s="25">
        <f t="shared" si="15"/>
        <v>0</v>
      </c>
      <c r="W53" s="41"/>
      <c r="X53" s="41"/>
      <c r="Y53" s="25">
        <f t="shared" si="3"/>
        <v>0</v>
      </c>
      <c r="Z53" s="36"/>
      <c r="AA53" s="37">
        <f t="shared" si="4"/>
        <v>0</v>
      </c>
      <c r="AB53" s="37">
        <f t="shared" si="5"/>
        <v>0</v>
      </c>
      <c r="AC53" s="37">
        <f t="shared" si="6"/>
        <v>0</v>
      </c>
      <c r="AD53" s="37">
        <f t="shared" si="7"/>
        <v>0</v>
      </c>
      <c r="AE53" s="28">
        <v>0</v>
      </c>
      <c r="AF53" s="28">
        <v>12</v>
      </c>
      <c r="AG53" s="29" t="str">
        <f t="shared" si="8"/>
        <v>F</v>
      </c>
      <c r="AH53" s="29">
        <f t="shared" si="12"/>
        <v>0</v>
      </c>
      <c r="AI53" s="104" t="s">
        <v>35</v>
      </c>
      <c r="AJ53" s="105"/>
      <c r="AK53" s="104"/>
      <c r="AL53" s="105"/>
      <c r="AM53" s="77"/>
      <c r="AN53" s="77"/>
      <c r="AO53" s="30" t="str">
        <f t="shared" si="16"/>
        <v>차시예정</v>
      </c>
      <c r="AP53" s="30" t="str">
        <f t="shared" si="17"/>
        <v>-</v>
      </c>
      <c r="AQ53" s="30" t="str">
        <f t="shared" si="18"/>
        <v>차시예정</v>
      </c>
      <c r="AR53" s="38"/>
      <c r="AS53" s="38"/>
      <c r="AT53" s="38"/>
      <c r="AU53" s="29">
        <f t="shared" si="11"/>
        <v>2</v>
      </c>
      <c r="AV53" s="45"/>
      <c r="AW53" s="46"/>
    </row>
    <row r="54" spans="1:51" ht="24.95" customHeight="1" x14ac:dyDescent="0.3">
      <c r="A54" s="119"/>
      <c r="B54" s="21"/>
      <c r="C54" s="21"/>
      <c r="D54" s="21"/>
      <c r="E54" s="41"/>
      <c r="F54" s="41"/>
      <c r="G54" s="41"/>
      <c r="H54" s="41"/>
      <c r="I54" s="41"/>
      <c r="J54" s="41"/>
      <c r="K54" s="41"/>
      <c r="L54" s="24">
        <f t="shared" si="19"/>
        <v>0</v>
      </c>
      <c r="M54" s="41"/>
      <c r="N54" s="41"/>
      <c r="O54" s="41"/>
      <c r="P54" s="41"/>
      <c r="Q54" s="41"/>
      <c r="R54" s="41"/>
      <c r="S54" s="25">
        <f t="shared" si="1"/>
        <v>0</v>
      </c>
      <c r="T54" s="41"/>
      <c r="U54" s="41"/>
      <c r="V54" s="25">
        <f t="shared" si="15"/>
        <v>0</v>
      </c>
      <c r="W54" s="41"/>
      <c r="X54" s="41"/>
      <c r="Y54" s="25">
        <f t="shared" si="3"/>
        <v>0</v>
      </c>
      <c r="Z54" s="36"/>
      <c r="AA54" s="37">
        <f t="shared" si="4"/>
        <v>0</v>
      </c>
      <c r="AB54" s="37">
        <f t="shared" si="5"/>
        <v>0</v>
      </c>
      <c r="AC54" s="37">
        <f t="shared" si="6"/>
        <v>0</v>
      </c>
      <c r="AD54" s="37">
        <f t="shared" si="7"/>
        <v>0</v>
      </c>
      <c r="AE54" s="28">
        <v>0</v>
      </c>
      <c r="AF54" s="28">
        <v>12</v>
      </c>
      <c r="AG54" s="29" t="str">
        <f t="shared" si="8"/>
        <v>F</v>
      </c>
      <c r="AH54" s="29">
        <f t="shared" si="12"/>
        <v>0</v>
      </c>
      <c r="AI54" s="104" t="s">
        <v>35</v>
      </c>
      <c r="AJ54" s="105"/>
      <c r="AK54" s="104"/>
      <c r="AL54" s="105"/>
      <c r="AM54" s="77"/>
      <c r="AN54" s="77"/>
      <c r="AO54" s="30" t="str">
        <f t="shared" si="16"/>
        <v>차시예정</v>
      </c>
      <c r="AP54" s="30" t="str">
        <f t="shared" si="17"/>
        <v>-</v>
      </c>
      <c r="AQ54" s="30" t="str">
        <f t="shared" si="18"/>
        <v>차시예정</v>
      </c>
      <c r="AR54" s="38"/>
      <c r="AS54" s="38"/>
      <c r="AT54" s="38"/>
      <c r="AU54" s="29">
        <f t="shared" si="11"/>
        <v>2</v>
      </c>
      <c r="AV54" s="45"/>
      <c r="AW54" s="46"/>
    </row>
    <row r="55" spans="1:51" ht="24.95" customHeight="1" x14ac:dyDescent="0.3">
      <c r="A55" s="119"/>
      <c r="B55" s="21"/>
      <c r="C55" s="21"/>
      <c r="D55" s="21"/>
      <c r="E55" s="41"/>
      <c r="F55" s="41"/>
      <c r="G55" s="41"/>
      <c r="H55" s="41"/>
      <c r="I55" s="41"/>
      <c r="J55" s="41"/>
      <c r="K55" s="41"/>
      <c r="L55" s="24">
        <f t="shared" si="19"/>
        <v>0</v>
      </c>
      <c r="M55" s="41"/>
      <c r="N55" s="41"/>
      <c r="O55" s="41"/>
      <c r="P55" s="41"/>
      <c r="Q55" s="41"/>
      <c r="R55" s="41"/>
      <c r="S55" s="25">
        <f t="shared" si="1"/>
        <v>0</v>
      </c>
      <c r="T55" s="41"/>
      <c r="U55" s="41"/>
      <c r="V55" s="25">
        <f t="shared" si="15"/>
        <v>0</v>
      </c>
      <c r="W55" s="41"/>
      <c r="X55" s="41"/>
      <c r="Y55" s="25">
        <f t="shared" si="3"/>
        <v>0</v>
      </c>
      <c r="Z55" s="36"/>
      <c r="AA55" s="37">
        <f t="shared" si="4"/>
        <v>0</v>
      </c>
      <c r="AB55" s="37">
        <f t="shared" si="5"/>
        <v>0</v>
      </c>
      <c r="AC55" s="37">
        <f t="shared" si="6"/>
        <v>0</v>
      </c>
      <c r="AD55" s="37">
        <f t="shared" si="7"/>
        <v>0</v>
      </c>
      <c r="AE55" s="28">
        <v>0</v>
      </c>
      <c r="AF55" s="28">
        <v>12</v>
      </c>
      <c r="AG55" s="29" t="str">
        <f t="shared" si="8"/>
        <v>F</v>
      </c>
      <c r="AH55" s="29">
        <f t="shared" si="12"/>
        <v>0</v>
      </c>
      <c r="AI55" s="104" t="s">
        <v>35</v>
      </c>
      <c r="AJ55" s="105"/>
      <c r="AK55" s="104"/>
      <c r="AL55" s="105"/>
      <c r="AM55" s="77"/>
      <c r="AN55" s="77"/>
      <c r="AO55" s="30" t="str">
        <f t="shared" si="16"/>
        <v>차시예정</v>
      </c>
      <c r="AP55" s="30" t="str">
        <f t="shared" si="17"/>
        <v>-</v>
      </c>
      <c r="AQ55" s="30" t="str">
        <f t="shared" si="18"/>
        <v>차시예정</v>
      </c>
      <c r="AR55" s="38"/>
      <c r="AS55" s="38"/>
      <c r="AT55" s="38"/>
      <c r="AU55" s="29">
        <f t="shared" si="11"/>
        <v>2</v>
      </c>
      <c r="AV55" s="45"/>
      <c r="AW55" s="46"/>
    </row>
    <row r="56" spans="1:51" ht="24.95" customHeight="1" x14ac:dyDescent="0.3">
      <c r="A56" s="119"/>
      <c r="B56" s="21"/>
      <c r="C56" s="21"/>
      <c r="D56" s="21"/>
      <c r="E56" s="41"/>
      <c r="F56" s="41"/>
      <c r="G56" s="41"/>
      <c r="H56" s="41"/>
      <c r="I56" s="41"/>
      <c r="J56" s="41"/>
      <c r="K56" s="41"/>
      <c r="L56" s="24">
        <f t="shared" si="19"/>
        <v>0</v>
      </c>
      <c r="M56" s="41"/>
      <c r="N56" s="41"/>
      <c r="O56" s="41"/>
      <c r="P56" s="41"/>
      <c r="Q56" s="41"/>
      <c r="R56" s="41"/>
      <c r="S56" s="25">
        <f t="shared" si="1"/>
        <v>0</v>
      </c>
      <c r="T56" s="41"/>
      <c r="U56" s="41"/>
      <c r="V56" s="25">
        <f t="shared" si="15"/>
        <v>0</v>
      </c>
      <c r="W56" s="41"/>
      <c r="X56" s="41"/>
      <c r="Y56" s="25">
        <f t="shared" si="3"/>
        <v>0</v>
      </c>
      <c r="Z56" s="36"/>
      <c r="AA56" s="37">
        <f t="shared" si="4"/>
        <v>0</v>
      </c>
      <c r="AB56" s="37">
        <f t="shared" si="5"/>
        <v>0</v>
      </c>
      <c r="AC56" s="37">
        <f t="shared" si="6"/>
        <v>0</v>
      </c>
      <c r="AD56" s="37">
        <f t="shared" si="7"/>
        <v>0</v>
      </c>
      <c r="AE56" s="28">
        <v>0</v>
      </c>
      <c r="AF56" s="28">
        <v>12</v>
      </c>
      <c r="AG56" s="29" t="str">
        <f t="shared" si="8"/>
        <v>F</v>
      </c>
      <c r="AH56" s="29">
        <f t="shared" si="12"/>
        <v>0</v>
      </c>
      <c r="AI56" s="104" t="s">
        <v>35</v>
      </c>
      <c r="AJ56" s="105"/>
      <c r="AK56" s="104"/>
      <c r="AL56" s="105"/>
      <c r="AM56" s="77"/>
      <c r="AN56" s="77"/>
      <c r="AO56" s="30" t="str">
        <f t="shared" si="16"/>
        <v>차시예정</v>
      </c>
      <c r="AP56" s="30" t="str">
        <f t="shared" si="17"/>
        <v>-</v>
      </c>
      <c r="AQ56" s="30" t="str">
        <f t="shared" si="18"/>
        <v>차시예정</v>
      </c>
      <c r="AR56" s="38"/>
      <c r="AS56" s="38"/>
      <c r="AT56" s="38"/>
      <c r="AU56" s="29">
        <f t="shared" si="11"/>
        <v>2</v>
      </c>
      <c r="AV56" s="45"/>
      <c r="AW56" s="46"/>
    </row>
    <row r="57" spans="1:51" ht="24.95" customHeight="1" x14ac:dyDescent="0.3">
      <c r="A57" s="119"/>
      <c r="B57" s="21"/>
      <c r="C57" s="21"/>
      <c r="D57" s="21"/>
      <c r="E57" s="41"/>
      <c r="F57" s="41"/>
      <c r="G57" s="41"/>
      <c r="H57" s="41"/>
      <c r="I57" s="41"/>
      <c r="J57" s="41"/>
      <c r="K57" s="41"/>
      <c r="L57" s="24">
        <f t="shared" si="19"/>
        <v>0</v>
      </c>
      <c r="M57" s="41"/>
      <c r="N57" s="41"/>
      <c r="O57" s="41"/>
      <c r="P57" s="41"/>
      <c r="Q57" s="41"/>
      <c r="R57" s="41"/>
      <c r="S57" s="25">
        <f t="shared" si="1"/>
        <v>0</v>
      </c>
      <c r="T57" s="41"/>
      <c r="U57" s="41"/>
      <c r="V57" s="25">
        <f t="shared" si="15"/>
        <v>0</v>
      </c>
      <c r="W57" s="41"/>
      <c r="X57" s="41"/>
      <c r="Y57" s="25">
        <f t="shared" si="3"/>
        <v>0</v>
      </c>
      <c r="Z57" s="36"/>
      <c r="AA57" s="37">
        <f t="shared" si="4"/>
        <v>0</v>
      </c>
      <c r="AB57" s="37">
        <f t="shared" si="5"/>
        <v>0</v>
      </c>
      <c r="AC57" s="37">
        <f t="shared" si="6"/>
        <v>0</v>
      </c>
      <c r="AD57" s="37">
        <f t="shared" si="7"/>
        <v>0</v>
      </c>
      <c r="AE57" s="28">
        <v>0</v>
      </c>
      <c r="AF57" s="28">
        <v>12</v>
      </c>
      <c r="AG57" s="29" t="str">
        <f t="shared" si="8"/>
        <v>F</v>
      </c>
      <c r="AH57" s="29">
        <f t="shared" si="12"/>
        <v>0</v>
      </c>
      <c r="AI57" s="104" t="s">
        <v>80</v>
      </c>
      <c r="AJ57" s="105"/>
      <c r="AK57" s="104"/>
      <c r="AL57" s="105"/>
      <c r="AM57" s="77"/>
      <c r="AN57" s="77"/>
      <c r="AO57" s="30" t="str">
        <f t="shared" si="16"/>
        <v>차시예정</v>
      </c>
      <c r="AP57" s="30" t="str">
        <f t="shared" si="17"/>
        <v>-</v>
      </c>
      <c r="AQ57" s="30" t="str">
        <f t="shared" si="18"/>
        <v>차시예정</v>
      </c>
      <c r="AR57" s="38"/>
      <c r="AS57" s="38"/>
      <c r="AT57" s="38"/>
      <c r="AU57" s="29">
        <f t="shared" si="11"/>
        <v>2</v>
      </c>
      <c r="AV57" s="45"/>
      <c r="AW57" s="46"/>
    </row>
    <row r="58" spans="1:51" ht="24.95" customHeight="1" x14ac:dyDescent="0.3">
      <c r="A58" s="119"/>
      <c r="B58" s="21"/>
      <c r="C58" s="21"/>
      <c r="D58" s="21"/>
      <c r="E58" s="41"/>
      <c r="F58" s="41"/>
      <c r="G58" s="41"/>
      <c r="H58" s="41"/>
      <c r="I58" s="41"/>
      <c r="J58" s="41"/>
      <c r="K58" s="41"/>
      <c r="L58" s="24">
        <f t="shared" si="19"/>
        <v>0</v>
      </c>
      <c r="M58" s="41"/>
      <c r="N58" s="41"/>
      <c r="O58" s="41"/>
      <c r="P58" s="41"/>
      <c r="Q58" s="41"/>
      <c r="R58" s="41"/>
      <c r="S58" s="25">
        <f t="shared" si="1"/>
        <v>0</v>
      </c>
      <c r="T58" s="41"/>
      <c r="U58" s="41"/>
      <c r="V58" s="25">
        <f t="shared" si="15"/>
        <v>0</v>
      </c>
      <c r="W58" s="41"/>
      <c r="X58" s="41"/>
      <c r="Y58" s="25">
        <f t="shared" si="3"/>
        <v>0</v>
      </c>
      <c r="Z58" s="36"/>
      <c r="AA58" s="37">
        <f t="shared" si="4"/>
        <v>0</v>
      </c>
      <c r="AB58" s="37">
        <f t="shared" si="5"/>
        <v>0</v>
      </c>
      <c r="AC58" s="37">
        <f t="shared" si="6"/>
        <v>0</v>
      </c>
      <c r="AD58" s="37">
        <f t="shared" si="7"/>
        <v>0</v>
      </c>
      <c r="AE58" s="28">
        <v>0</v>
      </c>
      <c r="AF58" s="28">
        <v>12</v>
      </c>
      <c r="AG58" s="29" t="str">
        <f t="shared" si="8"/>
        <v>F</v>
      </c>
      <c r="AH58" s="29">
        <f t="shared" si="12"/>
        <v>0</v>
      </c>
      <c r="AI58" s="104" t="s">
        <v>35</v>
      </c>
      <c r="AJ58" s="105"/>
      <c r="AK58" s="104"/>
      <c r="AL58" s="105"/>
      <c r="AM58" s="77"/>
      <c r="AN58" s="77"/>
      <c r="AO58" s="30" t="str">
        <f t="shared" si="16"/>
        <v>차시예정</v>
      </c>
      <c r="AP58" s="30" t="str">
        <f t="shared" si="17"/>
        <v>-</v>
      </c>
      <c r="AQ58" s="30" t="str">
        <f t="shared" si="18"/>
        <v>차시예정</v>
      </c>
      <c r="AR58" s="38"/>
      <c r="AS58" s="38"/>
      <c r="AT58" s="38"/>
      <c r="AU58" s="29">
        <f t="shared" si="11"/>
        <v>2</v>
      </c>
      <c r="AV58" s="45"/>
      <c r="AW58" s="46"/>
    </row>
    <row r="59" spans="1:51" ht="24.95" customHeight="1" x14ac:dyDescent="0.3">
      <c r="A59" s="119"/>
      <c r="B59" s="21"/>
      <c r="C59" s="21"/>
      <c r="D59" s="21"/>
      <c r="E59" s="41"/>
      <c r="F59" s="41"/>
      <c r="G59" s="41"/>
      <c r="H59" s="41"/>
      <c r="I59" s="41"/>
      <c r="J59" s="41"/>
      <c r="K59" s="41"/>
      <c r="L59" s="24">
        <f t="shared" si="19"/>
        <v>0</v>
      </c>
      <c r="M59" s="41"/>
      <c r="N59" s="41"/>
      <c r="O59" s="41"/>
      <c r="P59" s="41"/>
      <c r="Q59" s="41"/>
      <c r="R59" s="41"/>
      <c r="S59" s="25">
        <f t="shared" si="1"/>
        <v>0</v>
      </c>
      <c r="T59" s="41"/>
      <c r="U59" s="41"/>
      <c r="V59" s="25">
        <f t="shared" si="15"/>
        <v>0</v>
      </c>
      <c r="W59" s="41"/>
      <c r="X59" s="41"/>
      <c r="Y59" s="25">
        <f t="shared" si="3"/>
        <v>0</v>
      </c>
      <c r="Z59" s="36"/>
      <c r="AA59" s="37">
        <f t="shared" si="4"/>
        <v>0</v>
      </c>
      <c r="AB59" s="37">
        <f t="shared" si="5"/>
        <v>0</v>
      </c>
      <c r="AC59" s="37">
        <f t="shared" si="6"/>
        <v>0</v>
      </c>
      <c r="AD59" s="37">
        <f t="shared" si="7"/>
        <v>0</v>
      </c>
      <c r="AE59" s="28">
        <v>0</v>
      </c>
      <c r="AF59" s="28">
        <v>12</v>
      </c>
      <c r="AG59" s="29" t="str">
        <f t="shared" si="8"/>
        <v>F</v>
      </c>
      <c r="AH59" s="29">
        <f t="shared" si="12"/>
        <v>0</v>
      </c>
      <c r="AI59" s="104" t="s">
        <v>35</v>
      </c>
      <c r="AJ59" s="105"/>
      <c r="AK59" s="104"/>
      <c r="AL59" s="105"/>
      <c r="AM59" s="77"/>
      <c r="AN59" s="77"/>
      <c r="AO59" s="30" t="str">
        <f t="shared" si="16"/>
        <v>차시예정</v>
      </c>
      <c r="AP59" s="30" t="str">
        <f t="shared" si="17"/>
        <v>-</v>
      </c>
      <c r="AQ59" s="30" t="str">
        <f t="shared" si="18"/>
        <v>차시예정</v>
      </c>
      <c r="AR59" s="38"/>
      <c r="AS59" s="38"/>
      <c r="AT59" s="38"/>
      <c r="AU59" s="29">
        <f t="shared" si="11"/>
        <v>2</v>
      </c>
      <c r="AV59" s="45"/>
      <c r="AW59" s="46"/>
    </row>
    <row r="60" spans="1:51" ht="24.95" customHeight="1" x14ac:dyDescent="0.3">
      <c r="A60" s="119"/>
      <c r="B60" s="21"/>
      <c r="C60" s="21"/>
      <c r="D60" s="21"/>
      <c r="E60" s="41"/>
      <c r="F60" s="41"/>
      <c r="G60" s="41"/>
      <c r="H60" s="41"/>
      <c r="I60" s="41"/>
      <c r="J60" s="41"/>
      <c r="K60" s="41"/>
      <c r="L60" s="24">
        <f t="shared" si="19"/>
        <v>0</v>
      </c>
      <c r="M60" s="41"/>
      <c r="N60" s="41"/>
      <c r="O60" s="41"/>
      <c r="P60" s="41"/>
      <c r="Q60" s="41"/>
      <c r="R60" s="41"/>
      <c r="S60" s="25">
        <f t="shared" si="1"/>
        <v>0</v>
      </c>
      <c r="T60" s="41"/>
      <c r="U60" s="41"/>
      <c r="V60" s="25">
        <f t="shared" si="15"/>
        <v>0</v>
      </c>
      <c r="W60" s="41"/>
      <c r="X60" s="41"/>
      <c r="Y60" s="25">
        <f t="shared" si="3"/>
        <v>0</v>
      </c>
      <c r="Z60" s="36"/>
      <c r="AA60" s="37">
        <f t="shared" si="4"/>
        <v>0</v>
      </c>
      <c r="AB60" s="37">
        <f t="shared" si="5"/>
        <v>0</v>
      </c>
      <c r="AC60" s="37">
        <f t="shared" si="6"/>
        <v>0</v>
      </c>
      <c r="AD60" s="37">
        <f t="shared" si="7"/>
        <v>0</v>
      </c>
      <c r="AE60" s="28">
        <v>0</v>
      </c>
      <c r="AF60" s="28">
        <v>12</v>
      </c>
      <c r="AG60" s="29" t="str">
        <f t="shared" si="8"/>
        <v>F</v>
      </c>
      <c r="AH60" s="29">
        <f t="shared" si="12"/>
        <v>0</v>
      </c>
      <c r="AI60" s="104" t="s">
        <v>35</v>
      </c>
      <c r="AJ60" s="105"/>
      <c r="AK60" s="104"/>
      <c r="AL60" s="105"/>
      <c r="AM60" s="77"/>
      <c r="AN60" s="77"/>
      <c r="AO60" s="30" t="str">
        <f t="shared" si="16"/>
        <v>차시예정</v>
      </c>
      <c r="AP60" s="30" t="str">
        <f t="shared" si="17"/>
        <v>-</v>
      </c>
      <c r="AQ60" s="30" t="str">
        <f t="shared" si="18"/>
        <v>차시예정</v>
      </c>
      <c r="AR60" s="38"/>
      <c r="AS60" s="38"/>
      <c r="AT60" s="38"/>
      <c r="AU60" s="29">
        <f t="shared" si="11"/>
        <v>2</v>
      </c>
      <c r="AV60" s="45"/>
      <c r="AW60" s="46"/>
    </row>
    <row r="61" spans="1:51" ht="24.95" customHeight="1" x14ac:dyDescent="0.3">
      <c r="A61" s="119"/>
      <c r="B61" s="21"/>
      <c r="C61" s="21"/>
      <c r="D61" s="21"/>
      <c r="E61" s="41"/>
      <c r="F61" s="41">
        <v>1</v>
      </c>
      <c r="G61" s="41">
        <v>1</v>
      </c>
      <c r="H61" s="41">
        <v>1</v>
      </c>
      <c r="I61" s="41">
        <v>1</v>
      </c>
      <c r="J61" s="41">
        <v>1</v>
      </c>
      <c r="K61" s="41">
        <v>1</v>
      </c>
      <c r="L61" s="24">
        <f t="shared" si="19"/>
        <v>6</v>
      </c>
      <c r="M61" s="41">
        <v>1</v>
      </c>
      <c r="N61" s="41">
        <v>0</v>
      </c>
      <c r="O61" s="41">
        <v>0</v>
      </c>
      <c r="P61" s="41">
        <v>0</v>
      </c>
      <c r="Q61" s="41">
        <v>1</v>
      </c>
      <c r="R61" s="41">
        <v>1</v>
      </c>
      <c r="S61" s="25">
        <f t="shared" si="1"/>
        <v>3</v>
      </c>
      <c r="T61" s="41">
        <v>1</v>
      </c>
      <c r="U61" s="41">
        <v>0</v>
      </c>
      <c r="V61" s="25">
        <f t="shared" si="15"/>
        <v>1</v>
      </c>
      <c r="W61" s="41">
        <v>0</v>
      </c>
      <c r="X61" s="41">
        <v>1</v>
      </c>
      <c r="Y61" s="25">
        <f t="shared" si="3"/>
        <v>1</v>
      </c>
      <c r="Z61" s="36"/>
      <c r="AA61" s="37">
        <f t="shared" si="4"/>
        <v>1</v>
      </c>
      <c r="AB61" s="37">
        <f t="shared" si="5"/>
        <v>0.5</v>
      </c>
      <c r="AC61" s="37">
        <f t="shared" si="6"/>
        <v>0.5</v>
      </c>
      <c r="AD61" s="37">
        <f t="shared" si="7"/>
        <v>0.5</v>
      </c>
      <c r="AE61" s="28">
        <v>11</v>
      </c>
      <c r="AF61" s="28">
        <v>5</v>
      </c>
      <c r="AG61" s="29" t="str">
        <f t="shared" si="8"/>
        <v>F</v>
      </c>
      <c r="AH61" s="29">
        <f t="shared" si="12"/>
        <v>11</v>
      </c>
      <c r="AI61" s="104" t="s">
        <v>35</v>
      </c>
      <c r="AJ61" s="105"/>
      <c r="AK61" s="104" t="s">
        <v>80</v>
      </c>
      <c r="AL61" s="105"/>
      <c r="AM61" s="77"/>
      <c r="AN61" s="77"/>
      <c r="AO61" s="30" t="str">
        <f t="shared" si="16"/>
        <v>차시예정</v>
      </c>
      <c r="AP61" s="30" t="str">
        <f t="shared" si="17"/>
        <v>-</v>
      </c>
      <c r="AQ61" s="30" t="str">
        <f t="shared" si="18"/>
        <v>-</v>
      </c>
      <c r="AR61" s="42"/>
      <c r="AS61" s="38"/>
      <c r="AT61" s="38" t="s">
        <v>83</v>
      </c>
      <c r="AU61" s="29">
        <f t="shared" si="11"/>
        <v>2</v>
      </c>
      <c r="AV61" s="45"/>
      <c r="AW61" s="46"/>
    </row>
    <row r="62" spans="1:51" ht="24.95" customHeight="1" x14ac:dyDescent="0.3">
      <c r="A62" s="119"/>
      <c r="B62" s="21"/>
      <c r="C62" s="21"/>
      <c r="D62" s="21"/>
      <c r="E62" s="41"/>
      <c r="F62" s="41"/>
      <c r="G62" s="41"/>
      <c r="H62" s="41"/>
      <c r="I62" s="41"/>
      <c r="J62" s="41"/>
      <c r="K62" s="41"/>
      <c r="L62" s="24">
        <f t="shared" si="19"/>
        <v>0</v>
      </c>
      <c r="M62" s="41"/>
      <c r="N62" s="41"/>
      <c r="O62" s="41"/>
      <c r="P62" s="41"/>
      <c r="Q62" s="41"/>
      <c r="R62" s="41"/>
      <c r="S62" s="25">
        <f t="shared" si="1"/>
        <v>0</v>
      </c>
      <c r="T62" s="41"/>
      <c r="U62" s="41"/>
      <c r="V62" s="25">
        <f t="shared" si="15"/>
        <v>0</v>
      </c>
      <c r="W62" s="41"/>
      <c r="X62" s="41"/>
      <c r="Y62" s="25">
        <f t="shared" si="3"/>
        <v>0</v>
      </c>
      <c r="Z62" s="36"/>
      <c r="AA62" s="37">
        <f t="shared" si="4"/>
        <v>0</v>
      </c>
      <c r="AB62" s="37">
        <f t="shared" si="5"/>
        <v>0</v>
      </c>
      <c r="AC62" s="37">
        <f t="shared" si="6"/>
        <v>0</v>
      </c>
      <c r="AD62" s="37">
        <f t="shared" si="7"/>
        <v>0</v>
      </c>
      <c r="AE62" s="28">
        <v>0</v>
      </c>
      <c r="AF62" s="28">
        <v>12</v>
      </c>
      <c r="AG62" s="29" t="str">
        <f t="shared" si="8"/>
        <v>F</v>
      </c>
      <c r="AH62" s="29">
        <f t="shared" si="12"/>
        <v>0</v>
      </c>
      <c r="AI62" s="104" t="s">
        <v>35</v>
      </c>
      <c r="AJ62" s="105"/>
      <c r="AK62" s="104"/>
      <c r="AL62" s="105"/>
      <c r="AM62" s="77"/>
      <c r="AN62" s="77"/>
      <c r="AO62" s="30" t="str">
        <f t="shared" si="16"/>
        <v>차시예정</v>
      </c>
      <c r="AP62" s="30" t="str">
        <f t="shared" si="17"/>
        <v>-</v>
      </c>
      <c r="AQ62" s="30" t="str">
        <f t="shared" si="18"/>
        <v>차시예정</v>
      </c>
      <c r="AR62" s="38"/>
      <c r="AS62" s="38"/>
      <c r="AT62" s="38"/>
      <c r="AU62" s="29">
        <f t="shared" si="11"/>
        <v>2</v>
      </c>
      <c r="AV62" s="45"/>
      <c r="AW62" s="46"/>
    </row>
    <row r="63" spans="1:51" ht="24.95" customHeight="1" x14ac:dyDescent="0.3">
      <c r="A63" s="119"/>
      <c r="B63" s="21"/>
      <c r="C63" s="21"/>
      <c r="D63" s="21"/>
      <c r="E63" s="41"/>
      <c r="F63" s="41"/>
      <c r="G63" s="41"/>
      <c r="H63" s="41"/>
      <c r="I63" s="41"/>
      <c r="J63" s="41"/>
      <c r="K63" s="41"/>
      <c r="L63" s="24">
        <f t="shared" si="19"/>
        <v>0</v>
      </c>
      <c r="M63" s="41"/>
      <c r="N63" s="41"/>
      <c r="O63" s="41"/>
      <c r="P63" s="41"/>
      <c r="Q63" s="41"/>
      <c r="R63" s="41"/>
      <c r="S63" s="25">
        <f t="shared" si="1"/>
        <v>0</v>
      </c>
      <c r="T63" s="41"/>
      <c r="U63" s="41"/>
      <c r="V63" s="25">
        <f t="shared" si="15"/>
        <v>0</v>
      </c>
      <c r="W63" s="41"/>
      <c r="X63" s="41"/>
      <c r="Y63" s="25">
        <f t="shared" si="3"/>
        <v>0</v>
      </c>
      <c r="Z63" s="36"/>
      <c r="AA63" s="37">
        <f t="shared" si="4"/>
        <v>0</v>
      </c>
      <c r="AB63" s="37">
        <f t="shared" si="5"/>
        <v>0</v>
      </c>
      <c r="AC63" s="37">
        <f t="shared" si="6"/>
        <v>0</v>
      </c>
      <c r="AD63" s="37">
        <f t="shared" si="7"/>
        <v>0</v>
      </c>
      <c r="AE63" s="28">
        <v>0</v>
      </c>
      <c r="AF63" s="28">
        <v>12</v>
      </c>
      <c r="AG63" s="29" t="str">
        <f t="shared" si="8"/>
        <v>F</v>
      </c>
      <c r="AH63" s="29">
        <f t="shared" si="12"/>
        <v>0</v>
      </c>
      <c r="AI63" s="104" t="s">
        <v>80</v>
      </c>
      <c r="AJ63" s="105"/>
      <c r="AK63" s="104"/>
      <c r="AL63" s="105"/>
      <c r="AM63" s="77"/>
      <c r="AN63" s="77"/>
      <c r="AO63" s="30" t="str">
        <f t="shared" si="16"/>
        <v>차시예정</v>
      </c>
      <c r="AP63" s="30" t="str">
        <f t="shared" si="17"/>
        <v>-</v>
      </c>
      <c r="AQ63" s="30" t="str">
        <f t="shared" si="18"/>
        <v>차시예정</v>
      </c>
      <c r="AR63" s="38"/>
      <c r="AS63" s="38"/>
      <c r="AT63" s="38"/>
      <c r="AU63" s="29">
        <f t="shared" si="11"/>
        <v>2</v>
      </c>
      <c r="AV63" s="45"/>
      <c r="AW63" s="46"/>
    </row>
    <row r="64" spans="1:51" ht="24.95" customHeight="1" x14ac:dyDescent="0.3">
      <c r="A64" s="119"/>
      <c r="B64" s="21"/>
      <c r="C64" s="21"/>
      <c r="D64" s="21"/>
      <c r="E64" s="41"/>
      <c r="F64" s="41"/>
      <c r="G64" s="41"/>
      <c r="H64" s="41"/>
      <c r="I64" s="41"/>
      <c r="J64" s="41"/>
      <c r="K64" s="41"/>
      <c r="L64" s="24">
        <f t="shared" si="19"/>
        <v>0</v>
      </c>
      <c r="M64" s="41"/>
      <c r="N64" s="41"/>
      <c r="O64" s="41"/>
      <c r="P64" s="41"/>
      <c r="Q64" s="41"/>
      <c r="R64" s="41"/>
      <c r="S64" s="25">
        <f t="shared" si="1"/>
        <v>0</v>
      </c>
      <c r="T64" s="41"/>
      <c r="U64" s="41"/>
      <c r="V64" s="25">
        <f t="shared" si="15"/>
        <v>0</v>
      </c>
      <c r="W64" s="41"/>
      <c r="X64" s="41"/>
      <c r="Y64" s="25">
        <f t="shared" si="3"/>
        <v>0</v>
      </c>
      <c r="Z64" s="36"/>
      <c r="AA64" s="37">
        <f t="shared" si="4"/>
        <v>0</v>
      </c>
      <c r="AB64" s="37">
        <f t="shared" si="5"/>
        <v>0</v>
      </c>
      <c r="AC64" s="37">
        <f t="shared" si="6"/>
        <v>0</v>
      </c>
      <c r="AD64" s="37">
        <f t="shared" si="7"/>
        <v>0</v>
      </c>
      <c r="AE64" s="28">
        <v>0</v>
      </c>
      <c r="AF64" s="28">
        <v>12</v>
      </c>
      <c r="AG64" s="29" t="str">
        <f t="shared" si="8"/>
        <v>F</v>
      </c>
      <c r="AH64" s="29">
        <f t="shared" si="12"/>
        <v>0</v>
      </c>
      <c r="AI64" s="104" t="s">
        <v>80</v>
      </c>
      <c r="AJ64" s="105"/>
      <c r="AK64" s="104"/>
      <c r="AL64" s="105"/>
      <c r="AM64" s="77"/>
      <c r="AN64" s="77"/>
      <c r="AO64" s="30" t="str">
        <f t="shared" si="16"/>
        <v>차시예정</v>
      </c>
      <c r="AP64" s="30" t="str">
        <f t="shared" si="17"/>
        <v>-</v>
      </c>
      <c r="AQ64" s="30" t="str">
        <f t="shared" si="18"/>
        <v>차시예정</v>
      </c>
      <c r="AR64" s="38"/>
      <c r="AS64" s="38"/>
      <c r="AT64" s="38"/>
      <c r="AU64" s="29">
        <f t="shared" si="11"/>
        <v>2</v>
      </c>
      <c r="AV64" s="45"/>
      <c r="AW64" s="46"/>
    </row>
    <row r="65" spans="1:52" ht="24.95" customHeight="1" x14ac:dyDescent="0.3">
      <c r="A65" s="119"/>
      <c r="B65" s="21"/>
      <c r="C65" s="21"/>
      <c r="D65" s="21"/>
      <c r="E65" s="41"/>
      <c r="F65" s="41"/>
      <c r="G65" s="41"/>
      <c r="H65" s="41"/>
      <c r="I65" s="41"/>
      <c r="J65" s="41"/>
      <c r="K65" s="41"/>
      <c r="L65" s="24">
        <f t="shared" si="19"/>
        <v>0</v>
      </c>
      <c r="M65" s="41"/>
      <c r="N65" s="41"/>
      <c r="O65" s="41"/>
      <c r="P65" s="41"/>
      <c r="Q65" s="41"/>
      <c r="R65" s="41"/>
      <c r="S65" s="25">
        <f t="shared" si="1"/>
        <v>0</v>
      </c>
      <c r="T65" s="41"/>
      <c r="U65" s="41"/>
      <c r="V65" s="25">
        <f t="shared" si="15"/>
        <v>0</v>
      </c>
      <c r="W65" s="41"/>
      <c r="X65" s="41"/>
      <c r="Y65" s="25">
        <f t="shared" si="3"/>
        <v>0</v>
      </c>
      <c r="Z65" s="36"/>
      <c r="AA65" s="37">
        <f t="shared" si="4"/>
        <v>0</v>
      </c>
      <c r="AB65" s="37">
        <f t="shared" si="5"/>
        <v>0</v>
      </c>
      <c r="AC65" s="37">
        <f t="shared" si="6"/>
        <v>0</v>
      </c>
      <c r="AD65" s="37">
        <f t="shared" si="7"/>
        <v>0</v>
      </c>
      <c r="AE65" s="28">
        <v>0</v>
      </c>
      <c r="AF65" s="28">
        <v>12</v>
      </c>
      <c r="AG65" s="29" t="str">
        <f t="shared" si="8"/>
        <v>F</v>
      </c>
      <c r="AH65" s="29">
        <f t="shared" si="12"/>
        <v>0</v>
      </c>
      <c r="AI65" s="104" t="s">
        <v>35</v>
      </c>
      <c r="AJ65" s="105"/>
      <c r="AK65" s="104"/>
      <c r="AL65" s="105"/>
      <c r="AM65" s="77"/>
      <c r="AN65" s="77"/>
      <c r="AO65" s="30" t="str">
        <f t="shared" si="16"/>
        <v>차시예정</v>
      </c>
      <c r="AP65" s="30" t="str">
        <f t="shared" si="17"/>
        <v>-</v>
      </c>
      <c r="AQ65" s="30" t="str">
        <f t="shared" si="18"/>
        <v>차시예정</v>
      </c>
      <c r="AR65" s="38"/>
      <c r="AS65" s="38"/>
      <c r="AT65" s="38"/>
      <c r="AU65" s="29">
        <f t="shared" si="11"/>
        <v>2</v>
      </c>
      <c r="AV65" s="45"/>
      <c r="AW65" s="46"/>
    </row>
    <row r="66" spans="1:52" ht="24.95" customHeight="1" x14ac:dyDescent="0.3">
      <c r="A66" s="119"/>
      <c r="B66" s="21"/>
      <c r="C66" s="21"/>
      <c r="D66" s="21"/>
      <c r="E66" s="41"/>
      <c r="F66" s="41"/>
      <c r="G66" s="41"/>
      <c r="H66" s="41"/>
      <c r="I66" s="41"/>
      <c r="J66" s="41"/>
      <c r="K66" s="41"/>
      <c r="L66" s="24">
        <f t="shared" si="19"/>
        <v>0</v>
      </c>
      <c r="M66" s="41"/>
      <c r="N66" s="41"/>
      <c r="O66" s="41"/>
      <c r="P66" s="41"/>
      <c r="Q66" s="41"/>
      <c r="R66" s="41"/>
      <c r="S66" s="25">
        <f t="shared" si="1"/>
        <v>0</v>
      </c>
      <c r="T66" s="41"/>
      <c r="U66" s="41"/>
      <c r="V66" s="25">
        <f t="shared" si="15"/>
        <v>0</v>
      </c>
      <c r="W66" s="41"/>
      <c r="X66" s="41"/>
      <c r="Y66" s="25">
        <f t="shared" si="3"/>
        <v>0</v>
      </c>
      <c r="Z66" s="36"/>
      <c r="AA66" s="37">
        <f t="shared" si="4"/>
        <v>0</v>
      </c>
      <c r="AB66" s="37">
        <f t="shared" si="5"/>
        <v>0</v>
      </c>
      <c r="AC66" s="37">
        <f t="shared" si="6"/>
        <v>0</v>
      </c>
      <c r="AD66" s="37">
        <f t="shared" si="7"/>
        <v>0</v>
      </c>
      <c r="AE66" s="28">
        <v>0</v>
      </c>
      <c r="AF66" s="28">
        <v>12</v>
      </c>
      <c r="AG66" s="29" t="str">
        <f t="shared" si="8"/>
        <v>F</v>
      </c>
      <c r="AH66" s="29">
        <f t="shared" si="12"/>
        <v>0</v>
      </c>
      <c r="AI66" s="104" t="s">
        <v>80</v>
      </c>
      <c r="AJ66" s="105"/>
      <c r="AK66" s="104"/>
      <c r="AL66" s="105"/>
      <c r="AM66" s="77"/>
      <c r="AN66" s="77"/>
      <c r="AO66" s="30" t="str">
        <f t="shared" si="16"/>
        <v>차시예정</v>
      </c>
      <c r="AP66" s="30" t="str">
        <f t="shared" si="17"/>
        <v>-</v>
      </c>
      <c r="AQ66" s="30" t="str">
        <f t="shared" si="18"/>
        <v>차시예정</v>
      </c>
      <c r="AR66" s="38"/>
      <c r="AS66" s="38"/>
      <c r="AT66" s="38"/>
      <c r="AU66" s="29">
        <f t="shared" si="11"/>
        <v>2</v>
      </c>
      <c r="AV66" s="45"/>
      <c r="AW66" s="46"/>
    </row>
    <row r="67" spans="1:52" ht="24.95" customHeight="1" x14ac:dyDescent="0.3">
      <c r="A67" s="119"/>
      <c r="B67" s="21"/>
      <c r="C67" s="21"/>
      <c r="D67" s="21"/>
      <c r="E67" s="41"/>
      <c r="F67" s="41"/>
      <c r="G67" s="41"/>
      <c r="H67" s="41"/>
      <c r="I67" s="41"/>
      <c r="J67" s="41"/>
      <c r="K67" s="41"/>
      <c r="L67" s="24">
        <f t="shared" si="19"/>
        <v>0</v>
      </c>
      <c r="M67" s="41"/>
      <c r="N67" s="41"/>
      <c r="O67" s="41"/>
      <c r="P67" s="41"/>
      <c r="Q67" s="41"/>
      <c r="R67" s="41"/>
      <c r="S67" s="25">
        <f t="shared" ref="S67:S81" si="20">SUM(M67:R67)</f>
        <v>0</v>
      </c>
      <c r="T67" s="41"/>
      <c r="U67" s="41"/>
      <c r="V67" s="25">
        <f t="shared" si="15"/>
        <v>0</v>
      </c>
      <c r="W67" s="41"/>
      <c r="X67" s="41"/>
      <c r="Y67" s="25">
        <f t="shared" ref="Y67:Y81" si="21">SUM(W67:X67)</f>
        <v>0</v>
      </c>
      <c r="Z67" s="36"/>
      <c r="AA67" s="37">
        <f t="shared" si="4"/>
        <v>0</v>
      </c>
      <c r="AB67" s="37">
        <f t="shared" si="5"/>
        <v>0</v>
      </c>
      <c r="AC67" s="37">
        <f t="shared" si="6"/>
        <v>0</v>
      </c>
      <c r="AD67" s="37">
        <f t="shared" si="7"/>
        <v>0</v>
      </c>
      <c r="AE67" s="28">
        <v>0</v>
      </c>
      <c r="AF67" s="28">
        <v>12</v>
      </c>
      <c r="AG67" s="29" t="str">
        <f t="shared" si="8"/>
        <v>F</v>
      </c>
      <c r="AH67" s="29">
        <f t="shared" si="12"/>
        <v>0</v>
      </c>
      <c r="AI67" s="104" t="s">
        <v>80</v>
      </c>
      <c r="AJ67" s="105"/>
      <c r="AK67" s="104"/>
      <c r="AL67" s="105"/>
      <c r="AM67" s="77"/>
      <c r="AN67" s="77"/>
      <c r="AO67" s="30" t="str">
        <f t="shared" si="16"/>
        <v>차시예정</v>
      </c>
      <c r="AP67" s="30" t="str">
        <f t="shared" si="17"/>
        <v>-</v>
      </c>
      <c r="AQ67" s="30" t="str">
        <f t="shared" si="18"/>
        <v>차시예정</v>
      </c>
      <c r="AR67" s="38"/>
      <c r="AS67" s="38"/>
      <c r="AT67" s="38"/>
      <c r="AU67" s="29">
        <f t="shared" si="11"/>
        <v>2</v>
      </c>
      <c r="AV67" s="45"/>
      <c r="AW67" s="46"/>
    </row>
    <row r="68" spans="1:52" ht="24.95" customHeight="1" x14ac:dyDescent="0.3">
      <c r="A68" s="119"/>
      <c r="B68" s="21"/>
      <c r="C68" s="21"/>
      <c r="D68" s="21"/>
      <c r="E68" s="41"/>
      <c r="F68" s="41"/>
      <c r="G68" s="41"/>
      <c r="H68" s="41"/>
      <c r="I68" s="41"/>
      <c r="J68" s="41"/>
      <c r="K68" s="41"/>
      <c r="L68" s="24">
        <f t="shared" si="19"/>
        <v>0</v>
      </c>
      <c r="M68" s="41"/>
      <c r="N68" s="41"/>
      <c r="O68" s="41"/>
      <c r="P68" s="41"/>
      <c r="Q68" s="41"/>
      <c r="R68" s="41"/>
      <c r="S68" s="25">
        <f t="shared" si="20"/>
        <v>0</v>
      </c>
      <c r="T68" s="41"/>
      <c r="U68" s="41"/>
      <c r="V68" s="25">
        <f t="shared" ref="V68:V73" si="22">SUM(T68:U68)</f>
        <v>0</v>
      </c>
      <c r="W68" s="41"/>
      <c r="X68" s="41"/>
      <c r="Y68" s="25">
        <f t="shared" si="21"/>
        <v>0</v>
      </c>
      <c r="Z68" s="36"/>
      <c r="AA68" s="37">
        <f t="shared" ref="AA68:AA81" si="23">L68/$AA$3</f>
        <v>0</v>
      </c>
      <c r="AB68" s="37">
        <f t="shared" ref="AB68:AB81" si="24">S68/$AB$3</f>
        <v>0</v>
      </c>
      <c r="AC68" s="37">
        <f t="shared" ref="AC68:AC81" si="25">V68/$AC$3</f>
        <v>0</v>
      </c>
      <c r="AD68" s="37">
        <f t="shared" ref="AD68:AD81" si="26">Y68/$AD$3</f>
        <v>0</v>
      </c>
      <c r="AE68" s="28">
        <v>0</v>
      </c>
      <c r="AF68" s="28">
        <v>12</v>
      </c>
      <c r="AG68" s="29" t="str">
        <f t="shared" ref="AG68:AG81" si="27">IF(AE68&gt;=$AE$3*0.7, "P", "F")</f>
        <v>F</v>
      </c>
      <c r="AH68" s="29">
        <f t="shared" si="12"/>
        <v>0</v>
      </c>
      <c r="AI68" s="104" t="s">
        <v>80</v>
      </c>
      <c r="AJ68" s="105"/>
      <c r="AK68" s="104"/>
      <c r="AL68" s="105"/>
      <c r="AM68" s="77"/>
      <c r="AN68" s="77"/>
      <c r="AO68" s="30" t="str">
        <f t="shared" ref="AO68:AO81" si="28">IF(AG68="P", "-","차시예정")</f>
        <v>차시예정</v>
      </c>
      <c r="AP68" s="30" t="str">
        <f t="shared" ref="AP68:AP81" si="29">IF(AI68="P", "-","차시예정")</f>
        <v>-</v>
      </c>
      <c r="AQ68" s="30" t="str">
        <f t="shared" si="18"/>
        <v>차시예정</v>
      </c>
      <c r="AR68" s="38"/>
      <c r="AS68" s="38"/>
      <c r="AT68" s="38"/>
      <c r="AU68" s="29">
        <f t="shared" si="11"/>
        <v>2</v>
      </c>
      <c r="AV68" s="45"/>
      <c r="AW68" s="46"/>
    </row>
    <row r="69" spans="1:52" ht="24.95" customHeight="1" x14ac:dyDescent="0.3">
      <c r="A69" s="119"/>
      <c r="B69" s="21"/>
      <c r="C69" s="21"/>
      <c r="D69" s="21"/>
      <c r="E69" s="41"/>
      <c r="F69" s="41">
        <v>1</v>
      </c>
      <c r="G69" s="41">
        <v>1</v>
      </c>
      <c r="H69" s="41">
        <v>1</v>
      </c>
      <c r="I69" s="41">
        <v>1</v>
      </c>
      <c r="J69" s="41">
        <v>1</v>
      </c>
      <c r="K69" s="41">
        <v>0</v>
      </c>
      <c r="L69" s="24">
        <f t="shared" si="19"/>
        <v>5</v>
      </c>
      <c r="M69" s="41">
        <v>0</v>
      </c>
      <c r="N69" s="41">
        <v>0</v>
      </c>
      <c r="O69" s="41">
        <v>0</v>
      </c>
      <c r="P69" s="41">
        <v>0</v>
      </c>
      <c r="Q69" s="41">
        <v>1</v>
      </c>
      <c r="R69" s="41">
        <v>1</v>
      </c>
      <c r="S69" s="25">
        <f t="shared" si="20"/>
        <v>2</v>
      </c>
      <c r="T69" s="41">
        <v>1</v>
      </c>
      <c r="U69" s="41">
        <v>0</v>
      </c>
      <c r="V69" s="25">
        <f t="shared" si="22"/>
        <v>1</v>
      </c>
      <c r="W69" s="41">
        <v>1</v>
      </c>
      <c r="X69" s="41">
        <v>0</v>
      </c>
      <c r="Y69" s="25">
        <f t="shared" si="21"/>
        <v>1</v>
      </c>
      <c r="Z69" s="36"/>
      <c r="AA69" s="37">
        <f t="shared" si="23"/>
        <v>0.83333333333333337</v>
      </c>
      <c r="AB69" s="37">
        <f t="shared" si="24"/>
        <v>0.33333333333333331</v>
      </c>
      <c r="AC69" s="37">
        <f t="shared" si="25"/>
        <v>0.5</v>
      </c>
      <c r="AD69" s="37">
        <f t="shared" si="26"/>
        <v>0.5</v>
      </c>
      <c r="AE69" s="28">
        <v>9</v>
      </c>
      <c r="AF69" s="28">
        <v>7</v>
      </c>
      <c r="AG69" s="29" t="str">
        <f t="shared" si="27"/>
        <v>F</v>
      </c>
      <c r="AH69" s="29">
        <f t="shared" ref="AH69:AH81" si="30">AE69</f>
        <v>9</v>
      </c>
      <c r="AI69" s="104" t="s">
        <v>35</v>
      </c>
      <c r="AJ69" s="105"/>
      <c r="AK69" s="104" t="s">
        <v>35</v>
      </c>
      <c r="AL69" s="105"/>
      <c r="AM69" s="77"/>
      <c r="AN69" s="77"/>
      <c r="AO69" s="30" t="str">
        <f t="shared" si="28"/>
        <v>차시예정</v>
      </c>
      <c r="AP69" s="30" t="str">
        <f t="shared" si="29"/>
        <v>-</v>
      </c>
      <c r="AQ69" s="30" t="str">
        <f t="shared" si="18"/>
        <v>-</v>
      </c>
      <c r="AR69" s="38"/>
      <c r="AS69" s="38"/>
      <c r="AT69" s="38" t="s">
        <v>90</v>
      </c>
      <c r="AU69" s="29">
        <f t="shared" ref="AU69:AU81" si="31">COUNTIF(AO69:AT69, "차시예정")+COUNTIF(AO69:AT69, "X")</f>
        <v>1</v>
      </c>
      <c r="AV69" s="45"/>
      <c r="AW69" s="46"/>
    </row>
    <row r="70" spans="1:52" ht="24.95" customHeight="1" x14ac:dyDescent="0.3">
      <c r="A70" s="119"/>
      <c r="B70" s="21"/>
      <c r="C70" s="21"/>
      <c r="D70" s="21"/>
      <c r="E70" s="41"/>
      <c r="F70" s="41"/>
      <c r="G70" s="41"/>
      <c r="H70" s="41"/>
      <c r="I70" s="41"/>
      <c r="J70" s="41"/>
      <c r="K70" s="41"/>
      <c r="L70" s="24">
        <f t="shared" si="19"/>
        <v>0</v>
      </c>
      <c r="M70" s="41"/>
      <c r="N70" s="41"/>
      <c r="O70" s="41"/>
      <c r="P70" s="41"/>
      <c r="Q70" s="41"/>
      <c r="R70" s="41"/>
      <c r="S70" s="25">
        <f t="shared" si="20"/>
        <v>0</v>
      </c>
      <c r="T70" s="41"/>
      <c r="U70" s="41"/>
      <c r="V70" s="25">
        <f t="shared" si="22"/>
        <v>0</v>
      </c>
      <c r="W70" s="41"/>
      <c r="X70" s="41"/>
      <c r="Y70" s="25">
        <f t="shared" si="21"/>
        <v>0</v>
      </c>
      <c r="Z70" s="36"/>
      <c r="AA70" s="37">
        <f t="shared" si="23"/>
        <v>0</v>
      </c>
      <c r="AB70" s="37">
        <f t="shared" si="24"/>
        <v>0</v>
      </c>
      <c r="AC70" s="37">
        <f t="shared" si="25"/>
        <v>0</v>
      </c>
      <c r="AD70" s="37">
        <f t="shared" si="26"/>
        <v>0</v>
      </c>
      <c r="AE70" s="28">
        <v>0</v>
      </c>
      <c r="AF70" s="28">
        <v>12</v>
      </c>
      <c r="AG70" s="29" t="str">
        <f t="shared" si="27"/>
        <v>F</v>
      </c>
      <c r="AH70" s="29">
        <f t="shared" si="30"/>
        <v>0</v>
      </c>
      <c r="AI70" s="104" t="s">
        <v>35</v>
      </c>
      <c r="AJ70" s="105"/>
      <c r="AK70" s="104"/>
      <c r="AL70" s="105"/>
      <c r="AM70" s="77"/>
      <c r="AN70" s="77"/>
      <c r="AO70" s="30" t="str">
        <f t="shared" si="28"/>
        <v>차시예정</v>
      </c>
      <c r="AP70" s="30" t="str">
        <f t="shared" si="29"/>
        <v>-</v>
      </c>
      <c r="AQ70" s="30" t="str">
        <f t="shared" si="18"/>
        <v>차시예정</v>
      </c>
      <c r="AR70" s="38"/>
      <c r="AS70" s="38"/>
      <c r="AT70" s="38"/>
      <c r="AU70" s="29">
        <f t="shared" si="31"/>
        <v>2</v>
      </c>
      <c r="AV70" s="45"/>
      <c r="AW70" s="46"/>
    </row>
    <row r="71" spans="1:52" ht="24.95" customHeight="1" x14ac:dyDescent="0.3">
      <c r="A71" s="119"/>
      <c r="B71" s="21"/>
      <c r="C71" s="21"/>
      <c r="D71" s="21"/>
      <c r="E71" s="41"/>
      <c r="F71" s="41"/>
      <c r="G71" s="41"/>
      <c r="H71" s="41"/>
      <c r="I71" s="41"/>
      <c r="J71" s="41"/>
      <c r="K71" s="41"/>
      <c r="L71" s="24">
        <f t="shared" si="19"/>
        <v>0</v>
      </c>
      <c r="M71" s="41"/>
      <c r="N71" s="41"/>
      <c r="O71" s="41"/>
      <c r="P71" s="41"/>
      <c r="Q71" s="41"/>
      <c r="R71" s="41"/>
      <c r="S71" s="25">
        <f t="shared" si="20"/>
        <v>0</v>
      </c>
      <c r="T71" s="41"/>
      <c r="U71" s="41"/>
      <c r="V71" s="25">
        <f t="shared" si="22"/>
        <v>0</v>
      </c>
      <c r="W71" s="41"/>
      <c r="X71" s="41"/>
      <c r="Y71" s="25">
        <f t="shared" si="21"/>
        <v>0</v>
      </c>
      <c r="Z71" s="36"/>
      <c r="AA71" s="37">
        <f t="shared" si="23"/>
        <v>0</v>
      </c>
      <c r="AB71" s="37">
        <f t="shared" si="24"/>
        <v>0</v>
      </c>
      <c r="AC71" s="37">
        <f t="shared" si="25"/>
        <v>0</v>
      </c>
      <c r="AD71" s="37">
        <f t="shared" si="26"/>
        <v>0</v>
      </c>
      <c r="AE71" s="28">
        <v>0</v>
      </c>
      <c r="AF71" s="28">
        <v>12</v>
      </c>
      <c r="AG71" s="29" t="str">
        <f t="shared" si="27"/>
        <v>F</v>
      </c>
      <c r="AH71" s="29">
        <f t="shared" si="30"/>
        <v>0</v>
      </c>
      <c r="AI71" s="108" t="s">
        <v>35</v>
      </c>
      <c r="AJ71" s="109"/>
      <c r="AK71" s="108"/>
      <c r="AL71" s="109"/>
      <c r="AM71" s="78"/>
      <c r="AN71" s="78"/>
      <c r="AO71" s="30" t="str">
        <f t="shared" si="28"/>
        <v>차시예정</v>
      </c>
      <c r="AP71" s="30" t="str">
        <f t="shared" si="29"/>
        <v>-</v>
      </c>
      <c r="AQ71" s="30" t="str">
        <f t="shared" si="18"/>
        <v>차시예정</v>
      </c>
      <c r="AR71" s="38"/>
      <c r="AS71" s="38"/>
      <c r="AT71" s="38"/>
      <c r="AU71" s="29">
        <f t="shared" si="31"/>
        <v>2</v>
      </c>
      <c r="AV71" s="45"/>
      <c r="AW71" s="46"/>
      <c r="AZ71" s="48"/>
    </row>
    <row r="72" spans="1:52" ht="24.95" customHeight="1" x14ac:dyDescent="0.3">
      <c r="A72" s="119"/>
      <c r="B72" s="21"/>
      <c r="C72" s="21"/>
      <c r="D72" s="21"/>
      <c r="E72" s="41"/>
      <c r="F72" s="41"/>
      <c r="G72" s="41"/>
      <c r="H72" s="41"/>
      <c r="I72" s="41"/>
      <c r="J72" s="41"/>
      <c r="K72" s="41"/>
      <c r="L72" s="24">
        <f t="shared" si="19"/>
        <v>0</v>
      </c>
      <c r="M72" s="41"/>
      <c r="N72" s="41"/>
      <c r="O72" s="41"/>
      <c r="P72" s="41"/>
      <c r="Q72" s="41"/>
      <c r="R72" s="41"/>
      <c r="S72" s="25">
        <f t="shared" si="20"/>
        <v>0</v>
      </c>
      <c r="T72" s="41"/>
      <c r="U72" s="41"/>
      <c r="V72" s="25">
        <f t="shared" si="22"/>
        <v>0</v>
      </c>
      <c r="W72" s="41"/>
      <c r="X72" s="41"/>
      <c r="Y72" s="25">
        <f t="shared" si="21"/>
        <v>0</v>
      </c>
      <c r="Z72" s="36"/>
      <c r="AA72" s="37">
        <f t="shared" si="23"/>
        <v>0</v>
      </c>
      <c r="AB72" s="37">
        <f t="shared" si="24"/>
        <v>0</v>
      </c>
      <c r="AC72" s="37">
        <f t="shared" si="25"/>
        <v>0</v>
      </c>
      <c r="AD72" s="37">
        <f t="shared" si="26"/>
        <v>0</v>
      </c>
      <c r="AE72" s="28">
        <v>0</v>
      </c>
      <c r="AF72" s="28">
        <v>12</v>
      </c>
      <c r="AG72" s="29" t="str">
        <f t="shared" si="27"/>
        <v>F</v>
      </c>
      <c r="AH72" s="29">
        <f t="shared" si="30"/>
        <v>0</v>
      </c>
      <c r="AI72" s="104" t="s">
        <v>35</v>
      </c>
      <c r="AJ72" s="105"/>
      <c r="AK72" s="104"/>
      <c r="AL72" s="105"/>
      <c r="AM72" s="77"/>
      <c r="AN72" s="77"/>
      <c r="AO72" s="30" t="str">
        <f t="shared" si="28"/>
        <v>차시예정</v>
      </c>
      <c r="AP72" s="30" t="str">
        <f t="shared" si="29"/>
        <v>-</v>
      </c>
      <c r="AQ72" s="30" t="str">
        <f t="shared" si="18"/>
        <v>차시예정</v>
      </c>
      <c r="AR72" s="38"/>
      <c r="AS72" s="38"/>
      <c r="AT72" s="38"/>
      <c r="AU72" s="29">
        <f t="shared" si="31"/>
        <v>2</v>
      </c>
      <c r="AV72" s="45"/>
      <c r="AW72" s="46"/>
    </row>
    <row r="73" spans="1:52" ht="24.95" customHeight="1" x14ac:dyDescent="0.3">
      <c r="A73" s="119"/>
      <c r="B73" s="21"/>
      <c r="C73" s="21"/>
      <c r="D73" s="21"/>
      <c r="E73" s="41"/>
      <c r="F73" s="41">
        <v>1</v>
      </c>
      <c r="G73" s="41">
        <v>1</v>
      </c>
      <c r="H73" s="41">
        <v>1</v>
      </c>
      <c r="I73" s="41">
        <v>1</v>
      </c>
      <c r="J73" s="41">
        <v>1</v>
      </c>
      <c r="K73" s="41">
        <v>1</v>
      </c>
      <c r="L73" s="24">
        <f t="shared" si="19"/>
        <v>6</v>
      </c>
      <c r="M73" s="41">
        <v>0</v>
      </c>
      <c r="N73" s="41">
        <v>1</v>
      </c>
      <c r="O73" s="41">
        <v>1</v>
      </c>
      <c r="P73" s="41">
        <v>0</v>
      </c>
      <c r="Q73" s="41">
        <v>1</v>
      </c>
      <c r="R73" s="41">
        <v>0</v>
      </c>
      <c r="S73" s="25">
        <f t="shared" si="20"/>
        <v>3</v>
      </c>
      <c r="T73" s="41">
        <v>1</v>
      </c>
      <c r="U73" s="41">
        <v>1</v>
      </c>
      <c r="V73" s="25">
        <f t="shared" si="22"/>
        <v>2</v>
      </c>
      <c r="W73" s="41">
        <v>1</v>
      </c>
      <c r="X73" s="41">
        <v>0</v>
      </c>
      <c r="Y73" s="25">
        <f t="shared" si="21"/>
        <v>1</v>
      </c>
      <c r="Z73" s="36"/>
      <c r="AA73" s="37">
        <f t="shared" si="23"/>
        <v>1</v>
      </c>
      <c r="AB73" s="37">
        <f t="shared" si="24"/>
        <v>0.5</v>
      </c>
      <c r="AC73" s="37">
        <f t="shared" si="25"/>
        <v>1</v>
      </c>
      <c r="AD73" s="37">
        <f t="shared" si="26"/>
        <v>0.5</v>
      </c>
      <c r="AE73" s="28">
        <v>12</v>
      </c>
      <c r="AF73" s="28">
        <v>4</v>
      </c>
      <c r="AG73" s="29" t="str">
        <f t="shared" si="27"/>
        <v>P</v>
      </c>
      <c r="AH73" s="29">
        <f t="shared" si="30"/>
        <v>12</v>
      </c>
      <c r="AI73" s="104" t="s">
        <v>35</v>
      </c>
      <c r="AJ73" s="105"/>
      <c r="AK73" s="104"/>
      <c r="AL73" s="105"/>
      <c r="AM73" s="77"/>
      <c r="AN73" s="77"/>
      <c r="AO73" s="30" t="str">
        <f t="shared" si="28"/>
        <v>-</v>
      </c>
      <c r="AP73" s="30" t="str">
        <f t="shared" si="29"/>
        <v>-</v>
      </c>
      <c r="AQ73" s="30" t="str">
        <f t="shared" si="18"/>
        <v>차시예정</v>
      </c>
      <c r="AR73" s="38"/>
      <c r="AS73" s="38"/>
      <c r="AT73" s="38" t="s">
        <v>103</v>
      </c>
      <c r="AU73" s="29">
        <f t="shared" si="31"/>
        <v>1</v>
      </c>
      <c r="AV73" s="45"/>
      <c r="AW73" s="45"/>
    </row>
    <row r="74" spans="1:52" ht="24.95" customHeight="1" x14ac:dyDescent="0.3">
      <c r="A74" s="119"/>
      <c r="B74" s="21"/>
      <c r="C74" s="21"/>
      <c r="D74" s="21"/>
      <c r="E74" s="49"/>
      <c r="F74" s="49"/>
      <c r="G74" s="49"/>
      <c r="H74" s="49"/>
      <c r="I74" s="49"/>
      <c r="J74" s="49"/>
      <c r="K74" s="49"/>
      <c r="L74" s="50">
        <f t="shared" si="19"/>
        <v>0</v>
      </c>
      <c r="M74" s="49"/>
      <c r="N74" s="49"/>
      <c r="O74" s="49"/>
      <c r="P74" s="49"/>
      <c r="Q74" s="49"/>
      <c r="R74" s="49"/>
      <c r="S74" s="51">
        <f t="shared" si="20"/>
        <v>0</v>
      </c>
      <c r="T74" s="49"/>
      <c r="U74" s="49"/>
      <c r="V74" s="51">
        <f t="shared" ref="V74:V81" si="32">SUM(T74:T74)</f>
        <v>0</v>
      </c>
      <c r="W74" s="49"/>
      <c r="X74" s="49"/>
      <c r="Y74" s="51">
        <f t="shared" si="21"/>
        <v>0</v>
      </c>
      <c r="Z74" s="52"/>
      <c r="AA74" s="53">
        <f t="shared" si="23"/>
        <v>0</v>
      </c>
      <c r="AB74" s="53">
        <f t="shared" si="24"/>
        <v>0</v>
      </c>
      <c r="AC74" s="53">
        <f t="shared" si="25"/>
        <v>0</v>
      </c>
      <c r="AD74" s="53">
        <f t="shared" si="26"/>
        <v>0</v>
      </c>
      <c r="AE74" s="51">
        <f t="shared" ref="AE74:AE81" si="33">SUM(L74,S74,V74,Y74)</f>
        <v>0</v>
      </c>
      <c r="AF74" s="51">
        <f t="shared" ref="AF74:AF81" si="34">RANK(AE74, $AE$4:$AE$80,0)</f>
        <v>12</v>
      </c>
      <c r="AG74" s="54" t="str">
        <f t="shared" si="27"/>
        <v>F</v>
      </c>
      <c r="AH74" s="54">
        <f t="shared" si="30"/>
        <v>0</v>
      </c>
      <c r="AI74" s="106" t="s">
        <v>35</v>
      </c>
      <c r="AJ74" s="107"/>
      <c r="AK74" s="106"/>
      <c r="AL74" s="107"/>
      <c r="AM74" s="79"/>
      <c r="AN74" s="79"/>
      <c r="AO74" s="55" t="str">
        <f t="shared" si="28"/>
        <v>차시예정</v>
      </c>
      <c r="AP74" s="55" t="str">
        <f t="shared" si="29"/>
        <v>-</v>
      </c>
      <c r="AQ74" s="55" t="str">
        <f t="shared" si="18"/>
        <v>차시예정</v>
      </c>
      <c r="AR74" s="38"/>
      <c r="AS74" s="38"/>
      <c r="AT74" s="38"/>
      <c r="AU74" s="29">
        <f t="shared" si="31"/>
        <v>2</v>
      </c>
      <c r="AV74" s="56"/>
      <c r="AW74" s="56"/>
    </row>
    <row r="75" spans="1:52" ht="24.95" customHeight="1" x14ac:dyDescent="0.3">
      <c r="A75" s="119"/>
      <c r="B75" s="21"/>
      <c r="C75" s="21"/>
      <c r="D75" s="21"/>
      <c r="E75" s="49"/>
      <c r="F75" s="49"/>
      <c r="G75" s="49"/>
      <c r="H75" s="49"/>
      <c r="I75" s="49"/>
      <c r="J75" s="49"/>
      <c r="K75" s="49"/>
      <c r="L75" s="50">
        <f t="shared" si="19"/>
        <v>0</v>
      </c>
      <c r="M75" s="49"/>
      <c r="N75" s="49"/>
      <c r="O75" s="49"/>
      <c r="P75" s="49"/>
      <c r="Q75" s="49"/>
      <c r="R75" s="49"/>
      <c r="S75" s="51">
        <f t="shared" si="20"/>
        <v>0</v>
      </c>
      <c r="T75" s="49"/>
      <c r="U75" s="49"/>
      <c r="V75" s="51">
        <f t="shared" si="32"/>
        <v>0</v>
      </c>
      <c r="W75" s="49"/>
      <c r="X75" s="49"/>
      <c r="Y75" s="51">
        <f t="shared" si="21"/>
        <v>0</v>
      </c>
      <c r="Z75" s="52"/>
      <c r="AA75" s="53">
        <f t="shared" si="23"/>
        <v>0</v>
      </c>
      <c r="AB75" s="53">
        <f t="shared" si="24"/>
        <v>0</v>
      </c>
      <c r="AC75" s="53">
        <f t="shared" si="25"/>
        <v>0</v>
      </c>
      <c r="AD75" s="53">
        <f t="shared" si="26"/>
        <v>0</v>
      </c>
      <c r="AE75" s="51">
        <f t="shared" si="33"/>
        <v>0</v>
      </c>
      <c r="AF75" s="51">
        <f t="shared" si="34"/>
        <v>12</v>
      </c>
      <c r="AG75" s="54" t="str">
        <f t="shared" si="27"/>
        <v>F</v>
      </c>
      <c r="AH75" s="54">
        <f t="shared" si="30"/>
        <v>0</v>
      </c>
      <c r="AI75" s="106" t="s">
        <v>35</v>
      </c>
      <c r="AJ75" s="107"/>
      <c r="AK75" s="106"/>
      <c r="AL75" s="107"/>
      <c r="AM75" s="79"/>
      <c r="AN75" s="79"/>
      <c r="AO75" s="55" t="str">
        <f t="shared" si="28"/>
        <v>차시예정</v>
      </c>
      <c r="AP75" s="55" t="str">
        <f t="shared" si="29"/>
        <v>-</v>
      </c>
      <c r="AQ75" s="55" t="str">
        <f t="shared" ref="AQ75:AQ81" si="35">IF(AK75="P", "-","차시예정")</f>
        <v>차시예정</v>
      </c>
      <c r="AR75" s="38"/>
      <c r="AS75" s="38"/>
      <c r="AT75" s="38"/>
      <c r="AU75" s="29">
        <f t="shared" si="31"/>
        <v>2</v>
      </c>
      <c r="AV75" s="56"/>
      <c r="AW75" s="56"/>
    </row>
    <row r="76" spans="1:52" ht="24.95" customHeight="1" x14ac:dyDescent="0.3">
      <c r="A76" s="119"/>
      <c r="B76" s="21"/>
      <c r="C76" s="21"/>
      <c r="D76" s="21"/>
      <c r="E76" s="49"/>
      <c r="F76" s="49"/>
      <c r="G76" s="49"/>
      <c r="H76" s="49"/>
      <c r="I76" s="49"/>
      <c r="J76" s="49"/>
      <c r="K76" s="49"/>
      <c r="L76" s="50">
        <f t="shared" si="19"/>
        <v>0</v>
      </c>
      <c r="M76" s="49"/>
      <c r="N76" s="49"/>
      <c r="O76" s="49"/>
      <c r="P76" s="49"/>
      <c r="Q76" s="49"/>
      <c r="R76" s="49"/>
      <c r="S76" s="51">
        <f t="shared" si="20"/>
        <v>0</v>
      </c>
      <c r="T76" s="49"/>
      <c r="U76" s="49"/>
      <c r="V76" s="51">
        <f t="shared" si="32"/>
        <v>0</v>
      </c>
      <c r="W76" s="49"/>
      <c r="X76" s="49"/>
      <c r="Y76" s="51">
        <f t="shared" si="21"/>
        <v>0</v>
      </c>
      <c r="Z76" s="52"/>
      <c r="AA76" s="53">
        <f t="shared" si="23"/>
        <v>0</v>
      </c>
      <c r="AB76" s="53">
        <f t="shared" si="24"/>
        <v>0</v>
      </c>
      <c r="AC76" s="53">
        <f t="shared" si="25"/>
        <v>0</v>
      </c>
      <c r="AD76" s="53">
        <f t="shared" si="26"/>
        <v>0</v>
      </c>
      <c r="AE76" s="51">
        <f t="shared" si="33"/>
        <v>0</v>
      </c>
      <c r="AF76" s="51">
        <f t="shared" si="34"/>
        <v>12</v>
      </c>
      <c r="AG76" s="54" t="str">
        <f t="shared" si="27"/>
        <v>F</v>
      </c>
      <c r="AH76" s="54">
        <f t="shared" si="30"/>
        <v>0</v>
      </c>
      <c r="AI76" s="106" t="s">
        <v>35</v>
      </c>
      <c r="AJ76" s="107"/>
      <c r="AK76" s="106"/>
      <c r="AL76" s="107"/>
      <c r="AM76" s="79"/>
      <c r="AN76" s="79"/>
      <c r="AO76" s="55" t="str">
        <f t="shared" si="28"/>
        <v>차시예정</v>
      </c>
      <c r="AP76" s="55" t="str">
        <f t="shared" si="29"/>
        <v>-</v>
      </c>
      <c r="AQ76" s="55" t="str">
        <f t="shared" si="35"/>
        <v>차시예정</v>
      </c>
      <c r="AR76" s="57"/>
      <c r="AS76" s="57"/>
      <c r="AT76" s="57"/>
      <c r="AU76" s="54">
        <f t="shared" si="31"/>
        <v>2</v>
      </c>
      <c r="AV76" s="56"/>
      <c r="AW76" s="56"/>
    </row>
    <row r="77" spans="1:52" ht="24.95" customHeight="1" x14ac:dyDescent="0.3">
      <c r="A77" s="119"/>
      <c r="B77" s="21"/>
      <c r="C77" s="21"/>
      <c r="D77" s="21"/>
      <c r="E77" s="49"/>
      <c r="F77" s="49"/>
      <c r="G77" s="49"/>
      <c r="H77" s="49"/>
      <c r="I77" s="49"/>
      <c r="J77" s="49"/>
      <c r="K77" s="49"/>
      <c r="L77" s="50">
        <f t="shared" si="19"/>
        <v>0</v>
      </c>
      <c r="M77" s="49"/>
      <c r="N77" s="49"/>
      <c r="O77" s="49"/>
      <c r="P77" s="49"/>
      <c r="Q77" s="49"/>
      <c r="R77" s="49"/>
      <c r="S77" s="51">
        <f t="shared" si="20"/>
        <v>0</v>
      </c>
      <c r="T77" s="49"/>
      <c r="U77" s="49"/>
      <c r="V77" s="51">
        <f t="shared" si="32"/>
        <v>0</v>
      </c>
      <c r="W77" s="49"/>
      <c r="X77" s="49"/>
      <c r="Y77" s="51">
        <f t="shared" si="21"/>
        <v>0</v>
      </c>
      <c r="Z77" s="52"/>
      <c r="AA77" s="53">
        <f t="shared" si="23"/>
        <v>0</v>
      </c>
      <c r="AB77" s="53">
        <f t="shared" si="24"/>
        <v>0</v>
      </c>
      <c r="AC77" s="53">
        <f t="shared" si="25"/>
        <v>0</v>
      </c>
      <c r="AD77" s="53">
        <f t="shared" si="26"/>
        <v>0</v>
      </c>
      <c r="AE77" s="51">
        <f t="shared" si="33"/>
        <v>0</v>
      </c>
      <c r="AF77" s="51">
        <f t="shared" si="34"/>
        <v>12</v>
      </c>
      <c r="AG77" s="54" t="str">
        <f t="shared" si="27"/>
        <v>F</v>
      </c>
      <c r="AH77" s="54">
        <f t="shared" si="30"/>
        <v>0</v>
      </c>
      <c r="AI77" s="106" t="s">
        <v>35</v>
      </c>
      <c r="AJ77" s="107"/>
      <c r="AK77" s="106"/>
      <c r="AL77" s="107"/>
      <c r="AM77" s="79"/>
      <c r="AN77" s="79"/>
      <c r="AO77" s="55" t="str">
        <f t="shared" si="28"/>
        <v>차시예정</v>
      </c>
      <c r="AP77" s="55" t="str">
        <f t="shared" si="29"/>
        <v>-</v>
      </c>
      <c r="AQ77" s="55" t="str">
        <f t="shared" si="35"/>
        <v>차시예정</v>
      </c>
      <c r="AR77" s="57"/>
      <c r="AS77" s="57"/>
      <c r="AT77" s="57"/>
      <c r="AU77" s="54">
        <f t="shared" si="31"/>
        <v>2</v>
      </c>
      <c r="AV77" s="56"/>
      <c r="AW77" s="56"/>
    </row>
    <row r="78" spans="1:52" ht="24.95" customHeight="1" x14ac:dyDescent="0.3">
      <c r="A78" s="119"/>
      <c r="B78" s="21"/>
      <c r="C78" s="21"/>
      <c r="D78" s="21"/>
      <c r="E78" s="49"/>
      <c r="F78" s="49"/>
      <c r="G78" s="49"/>
      <c r="H78" s="49"/>
      <c r="I78" s="49"/>
      <c r="J78" s="49"/>
      <c r="K78" s="49"/>
      <c r="L78" s="50">
        <f t="shared" si="19"/>
        <v>0</v>
      </c>
      <c r="M78" s="49"/>
      <c r="N78" s="49"/>
      <c r="O78" s="49"/>
      <c r="P78" s="49"/>
      <c r="Q78" s="49"/>
      <c r="R78" s="49"/>
      <c r="S78" s="51">
        <f t="shared" si="20"/>
        <v>0</v>
      </c>
      <c r="T78" s="49"/>
      <c r="U78" s="49"/>
      <c r="V78" s="51">
        <f t="shared" si="32"/>
        <v>0</v>
      </c>
      <c r="W78" s="49"/>
      <c r="X78" s="49"/>
      <c r="Y78" s="51">
        <f t="shared" si="21"/>
        <v>0</v>
      </c>
      <c r="Z78" s="52"/>
      <c r="AA78" s="53">
        <f t="shared" si="23"/>
        <v>0</v>
      </c>
      <c r="AB78" s="53">
        <f t="shared" si="24"/>
        <v>0</v>
      </c>
      <c r="AC78" s="53">
        <f t="shared" si="25"/>
        <v>0</v>
      </c>
      <c r="AD78" s="53">
        <f t="shared" si="26"/>
        <v>0</v>
      </c>
      <c r="AE78" s="51">
        <f t="shared" si="33"/>
        <v>0</v>
      </c>
      <c r="AF78" s="51">
        <f t="shared" si="34"/>
        <v>12</v>
      </c>
      <c r="AG78" s="54" t="str">
        <f t="shared" si="27"/>
        <v>F</v>
      </c>
      <c r="AH78" s="54">
        <f t="shared" si="30"/>
        <v>0</v>
      </c>
      <c r="AI78" s="106" t="s">
        <v>35</v>
      </c>
      <c r="AJ78" s="107"/>
      <c r="AK78" s="106"/>
      <c r="AL78" s="107"/>
      <c r="AM78" s="79"/>
      <c r="AN78" s="79"/>
      <c r="AO78" s="55" t="str">
        <f t="shared" si="28"/>
        <v>차시예정</v>
      </c>
      <c r="AP78" s="55" t="str">
        <f t="shared" si="29"/>
        <v>-</v>
      </c>
      <c r="AQ78" s="55" t="str">
        <f t="shared" si="35"/>
        <v>차시예정</v>
      </c>
      <c r="AR78" s="57"/>
      <c r="AS78" s="57"/>
      <c r="AT78" s="57"/>
      <c r="AU78" s="54">
        <f t="shared" si="31"/>
        <v>2</v>
      </c>
      <c r="AV78" s="56"/>
      <c r="AW78" s="56"/>
    </row>
    <row r="79" spans="1:52" ht="24.95" customHeight="1" x14ac:dyDescent="0.3">
      <c r="A79" s="119"/>
      <c r="B79" s="21"/>
      <c r="C79" s="21"/>
      <c r="D79" s="21"/>
      <c r="E79" s="49"/>
      <c r="F79" s="49"/>
      <c r="G79" s="49"/>
      <c r="H79" s="49"/>
      <c r="I79" s="49"/>
      <c r="J79" s="49"/>
      <c r="K79" s="49"/>
      <c r="L79" s="50">
        <f t="shared" si="19"/>
        <v>0</v>
      </c>
      <c r="M79" s="49"/>
      <c r="N79" s="49"/>
      <c r="O79" s="49"/>
      <c r="P79" s="49"/>
      <c r="Q79" s="49"/>
      <c r="R79" s="49"/>
      <c r="S79" s="51">
        <f t="shared" si="20"/>
        <v>0</v>
      </c>
      <c r="T79" s="49"/>
      <c r="U79" s="49"/>
      <c r="V79" s="51">
        <f t="shared" si="32"/>
        <v>0</v>
      </c>
      <c r="W79" s="49"/>
      <c r="X79" s="49"/>
      <c r="Y79" s="51">
        <f t="shared" si="21"/>
        <v>0</v>
      </c>
      <c r="Z79" s="52"/>
      <c r="AA79" s="53">
        <f t="shared" si="23"/>
        <v>0</v>
      </c>
      <c r="AB79" s="53">
        <f t="shared" si="24"/>
        <v>0</v>
      </c>
      <c r="AC79" s="53">
        <f t="shared" si="25"/>
        <v>0</v>
      </c>
      <c r="AD79" s="53">
        <f t="shared" si="26"/>
        <v>0</v>
      </c>
      <c r="AE79" s="51">
        <f t="shared" si="33"/>
        <v>0</v>
      </c>
      <c r="AF79" s="51">
        <f t="shared" si="34"/>
        <v>12</v>
      </c>
      <c r="AG79" s="54" t="str">
        <f t="shared" si="27"/>
        <v>F</v>
      </c>
      <c r="AH79" s="54">
        <f t="shared" si="30"/>
        <v>0</v>
      </c>
      <c r="AI79" s="106" t="s">
        <v>35</v>
      </c>
      <c r="AJ79" s="107"/>
      <c r="AK79" s="106"/>
      <c r="AL79" s="107"/>
      <c r="AM79" s="79"/>
      <c r="AN79" s="79"/>
      <c r="AO79" s="55" t="str">
        <f t="shared" si="28"/>
        <v>차시예정</v>
      </c>
      <c r="AP79" s="55" t="str">
        <f t="shared" si="29"/>
        <v>-</v>
      </c>
      <c r="AQ79" s="55" t="str">
        <f t="shared" si="35"/>
        <v>차시예정</v>
      </c>
      <c r="AR79" s="57"/>
      <c r="AS79" s="57"/>
      <c r="AT79" s="57"/>
      <c r="AU79" s="54">
        <f t="shared" si="31"/>
        <v>2</v>
      </c>
      <c r="AV79" s="56"/>
      <c r="AW79" s="56"/>
    </row>
    <row r="80" spans="1:52" ht="24.95" customHeight="1" x14ac:dyDescent="0.3">
      <c r="A80" s="119"/>
      <c r="B80" s="21"/>
      <c r="C80" s="21"/>
      <c r="D80" s="21"/>
      <c r="E80" s="49"/>
      <c r="F80" s="49"/>
      <c r="G80" s="49"/>
      <c r="H80" s="49"/>
      <c r="I80" s="49"/>
      <c r="J80" s="49"/>
      <c r="K80" s="49"/>
      <c r="L80" s="50">
        <f t="shared" si="19"/>
        <v>0</v>
      </c>
      <c r="M80" s="49"/>
      <c r="N80" s="49"/>
      <c r="O80" s="49"/>
      <c r="P80" s="49"/>
      <c r="Q80" s="49"/>
      <c r="R80" s="49"/>
      <c r="S80" s="51">
        <f t="shared" si="20"/>
        <v>0</v>
      </c>
      <c r="T80" s="49"/>
      <c r="U80" s="49"/>
      <c r="V80" s="51">
        <f t="shared" si="32"/>
        <v>0</v>
      </c>
      <c r="W80" s="49"/>
      <c r="X80" s="49"/>
      <c r="Y80" s="51">
        <f t="shared" si="21"/>
        <v>0</v>
      </c>
      <c r="Z80" s="52"/>
      <c r="AA80" s="53">
        <f t="shared" si="23"/>
        <v>0</v>
      </c>
      <c r="AB80" s="53">
        <f t="shared" si="24"/>
        <v>0</v>
      </c>
      <c r="AC80" s="53">
        <f t="shared" si="25"/>
        <v>0</v>
      </c>
      <c r="AD80" s="53">
        <f t="shared" si="26"/>
        <v>0</v>
      </c>
      <c r="AE80" s="51">
        <f t="shared" si="33"/>
        <v>0</v>
      </c>
      <c r="AF80" s="51">
        <f t="shared" si="34"/>
        <v>12</v>
      </c>
      <c r="AG80" s="54" t="str">
        <f t="shared" si="27"/>
        <v>F</v>
      </c>
      <c r="AH80" s="54">
        <f t="shared" si="30"/>
        <v>0</v>
      </c>
      <c r="AI80" s="106" t="s">
        <v>136</v>
      </c>
      <c r="AJ80" s="107"/>
      <c r="AK80" s="106"/>
      <c r="AL80" s="107"/>
      <c r="AM80" s="79"/>
      <c r="AN80" s="79"/>
      <c r="AO80" s="55" t="str">
        <f t="shared" si="28"/>
        <v>차시예정</v>
      </c>
      <c r="AP80" s="55" t="str">
        <f t="shared" si="29"/>
        <v>-</v>
      </c>
      <c r="AQ80" s="55" t="str">
        <f t="shared" si="35"/>
        <v>차시예정</v>
      </c>
      <c r="AR80" s="57"/>
      <c r="AS80" s="57"/>
      <c r="AT80" s="57"/>
      <c r="AU80" s="54">
        <f t="shared" si="31"/>
        <v>2</v>
      </c>
      <c r="AV80" s="56"/>
      <c r="AW80" s="56"/>
    </row>
    <row r="81" spans="1:51" ht="24.95" customHeight="1" x14ac:dyDescent="0.3">
      <c r="A81" s="119"/>
      <c r="B81" s="21"/>
      <c r="C81" s="21"/>
      <c r="D81" s="21"/>
      <c r="E81" s="49"/>
      <c r="F81" s="49"/>
      <c r="G81" s="49"/>
      <c r="H81" s="49"/>
      <c r="I81" s="49"/>
      <c r="J81" s="49"/>
      <c r="K81" s="49"/>
      <c r="L81" s="50">
        <f t="shared" si="19"/>
        <v>0</v>
      </c>
      <c r="M81" s="49"/>
      <c r="N81" s="49"/>
      <c r="O81" s="49"/>
      <c r="P81" s="49"/>
      <c r="Q81" s="49"/>
      <c r="R81" s="49"/>
      <c r="S81" s="51">
        <f t="shared" si="20"/>
        <v>0</v>
      </c>
      <c r="T81" s="49"/>
      <c r="U81" s="49"/>
      <c r="V81" s="51">
        <f t="shared" si="32"/>
        <v>0</v>
      </c>
      <c r="W81" s="49"/>
      <c r="X81" s="49"/>
      <c r="Y81" s="51">
        <f t="shared" si="21"/>
        <v>0</v>
      </c>
      <c r="Z81" s="52"/>
      <c r="AA81" s="53">
        <f t="shared" si="23"/>
        <v>0</v>
      </c>
      <c r="AB81" s="53">
        <f t="shared" si="24"/>
        <v>0</v>
      </c>
      <c r="AC81" s="53">
        <f t="shared" si="25"/>
        <v>0</v>
      </c>
      <c r="AD81" s="53">
        <f t="shared" si="26"/>
        <v>0</v>
      </c>
      <c r="AE81" s="51">
        <f t="shared" si="33"/>
        <v>0</v>
      </c>
      <c r="AF81" s="51">
        <f t="shared" si="34"/>
        <v>12</v>
      </c>
      <c r="AG81" s="54" t="str">
        <f t="shared" si="27"/>
        <v>F</v>
      </c>
      <c r="AH81" s="54">
        <f t="shared" si="30"/>
        <v>0</v>
      </c>
      <c r="AI81" s="106" t="s">
        <v>35</v>
      </c>
      <c r="AJ81" s="107"/>
      <c r="AK81" s="106"/>
      <c r="AL81" s="107"/>
      <c r="AM81" s="79"/>
      <c r="AN81" s="79"/>
      <c r="AO81" s="55" t="str">
        <f t="shared" si="28"/>
        <v>차시예정</v>
      </c>
      <c r="AP81" s="55" t="str">
        <f t="shared" si="29"/>
        <v>-</v>
      </c>
      <c r="AQ81" s="55" t="str">
        <f t="shared" si="35"/>
        <v>차시예정</v>
      </c>
      <c r="AR81" s="57"/>
      <c r="AS81" s="57"/>
      <c r="AT81" s="57"/>
      <c r="AU81" s="54">
        <f t="shared" si="31"/>
        <v>2</v>
      </c>
      <c r="AV81" s="58"/>
      <c r="AW81" s="58"/>
      <c r="AX81" s="47"/>
    </row>
    <row r="82" spans="1:51" ht="37.5" customHeight="1" x14ac:dyDescent="0.3">
      <c r="A82" s="115"/>
      <c r="B82" s="116"/>
      <c r="C82" s="116"/>
      <c r="D82" s="116"/>
      <c r="E82" s="107"/>
      <c r="F82" s="117"/>
      <c r="G82" s="117"/>
      <c r="H82" s="117"/>
      <c r="I82" s="117"/>
      <c r="J82" s="117"/>
      <c r="K82" s="117"/>
      <c r="L82" s="1"/>
      <c r="M82" s="110"/>
      <c r="N82" s="117"/>
      <c r="O82" s="117"/>
      <c r="P82" s="117"/>
      <c r="Q82" s="117"/>
      <c r="R82" s="117"/>
      <c r="S82" s="1"/>
      <c r="T82" s="59"/>
      <c r="U82" s="59"/>
      <c r="V82" s="1"/>
      <c r="W82" s="110"/>
      <c r="X82" s="111"/>
      <c r="Y82" s="1"/>
      <c r="Z82" s="115"/>
      <c r="AA82" s="116"/>
      <c r="AB82" s="116"/>
      <c r="AC82" s="116"/>
      <c r="AD82" s="116"/>
      <c r="AE82" s="116"/>
      <c r="AF82" s="116"/>
      <c r="AG82" s="116"/>
      <c r="AH82" s="118"/>
      <c r="AI82" s="106"/>
      <c r="AJ82" s="107"/>
      <c r="AK82" s="82"/>
      <c r="AL82" s="83"/>
      <c r="AM82" s="65"/>
      <c r="AN82" s="65"/>
      <c r="AO82" s="110"/>
      <c r="AP82" s="117"/>
      <c r="AQ82" s="105"/>
      <c r="AR82" s="110"/>
      <c r="AS82" s="111"/>
      <c r="AT82" s="112"/>
      <c r="AU82" s="1"/>
      <c r="AV82" s="113"/>
      <c r="AW82" s="114"/>
      <c r="AX82" s="60"/>
      <c r="AY82" s="60"/>
    </row>
    <row r="83" spans="1:51" x14ac:dyDescent="0.3">
      <c r="A83" s="61"/>
      <c r="B83" s="61"/>
      <c r="C83" s="61"/>
      <c r="D83" s="61"/>
      <c r="E83" s="62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3"/>
      <c r="AE83" s="63"/>
      <c r="AF83" s="63"/>
      <c r="AG83" s="64"/>
      <c r="AH83" s="64"/>
      <c r="AI83" s="65"/>
      <c r="AJ83" s="66"/>
      <c r="AK83" s="104"/>
      <c r="AL83" s="105"/>
      <c r="AM83" s="77"/>
      <c r="AN83" s="77"/>
      <c r="AO83" s="64"/>
      <c r="AP83" s="64"/>
      <c r="AQ83" s="64"/>
      <c r="AR83" s="64"/>
      <c r="AS83" s="64"/>
      <c r="AT83" s="64"/>
      <c r="AU83" s="64"/>
      <c r="AV83" s="67"/>
      <c r="AW83" s="68"/>
      <c r="AX83" s="60"/>
      <c r="AY83" s="60"/>
    </row>
    <row r="84" spans="1:51" x14ac:dyDescent="0.3">
      <c r="AD84" s="71"/>
      <c r="AE84" s="71"/>
      <c r="AF84" s="71"/>
      <c r="AG84" s="72"/>
      <c r="AH84" s="72"/>
      <c r="AI84" s="65"/>
      <c r="AJ84" s="66"/>
      <c r="AK84" s="104"/>
      <c r="AL84" s="105"/>
      <c r="AM84" s="66"/>
      <c r="AN84" s="66"/>
      <c r="AO84" s="72"/>
      <c r="AP84" s="72"/>
      <c r="AQ84" s="72"/>
      <c r="AR84" s="72"/>
      <c r="AS84" s="72"/>
      <c r="AT84" s="72"/>
      <c r="AV84" s="67"/>
      <c r="AW84" s="68"/>
      <c r="AX84" s="60"/>
      <c r="AY84" s="60"/>
    </row>
    <row r="85" spans="1:51" x14ac:dyDescent="0.3">
      <c r="AD85" s="71"/>
      <c r="AE85" s="71"/>
      <c r="AF85" s="71"/>
      <c r="AG85" s="72"/>
      <c r="AH85" s="72"/>
      <c r="AI85" s="65"/>
      <c r="AJ85" s="66"/>
      <c r="AK85" s="5"/>
      <c r="AL85" s="5"/>
      <c r="AM85" s="5"/>
      <c r="AN85" s="5"/>
      <c r="AO85" s="72"/>
      <c r="AP85" s="72"/>
      <c r="AQ85" s="72"/>
      <c r="AR85" s="72"/>
      <c r="AS85" s="72"/>
      <c r="AT85" s="72"/>
      <c r="AV85" s="67"/>
      <c r="AW85" s="68"/>
      <c r="AX85" s="60"/>
      <c r="AY85" s="60"/>
    </row>
    <row r="86" spans="1:51" x14ac:dyDescent="0.3">
      <c r="AD86" s="71"/>
      <c r="AE86" s="71"/>
      <c r="AF86" s="71"/>
      <c r="AG86" s="72"/>
      <c r="AH86" s="72"/>
      <c r="AI86" s="65"/>
      <c r="AJ86" s="66"/>
      <c r="AK86" s="64"/>
      <c r="AL86" s="64"/>
      <c r="AM86" s="64"/>
      <c r="AN86" s="64"/>
      <c r="AO86" s="72"/>
      <c r="AP86" s="72"/>
      <c r="AQ86" s="72"/>
      <c r="AR86" s="72"/>
      <c r="AS86" s="72"/>
      <c r="AT86" s="72"/>
      <c r="AV86" s="67"/>
      <c r="AW86" s="68"/>
      <c r="AX86" s="60"/>
      <c r="AY86" s="60"/>
    </row>
    <row r="87" spans="1:51" x14ac:dyDescent="0.3">
      <c r="AD87" s="71"/>
      <c r="AE87" s="71"/>
      <c r="AF87" s="71"/>
      <c r="AG87" s="72"/>
      <c r="AH87" s="72"/>
      <c r="AI87" s="65"/>
      <c r="AJ87" s="66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V87" s="67"/>
      <c r="AW87" s="68"/>
      <c r="AX87" s="60"/>
      <c r="AY87" s="60"/>
    </row>
    <row r="88" spans="1:51" x14ac:dyDescent="0.3">
      <c r="AI88" s="65"/>
      <c r="AJ88" s="66"/>
      <c r="AK88" s="72"/>
      <c r="AL88" s="72"/>
      <c r="AM88" s="72"/>
      <c r="AN88" s="72"/>
      <c r="AO88" s="72"/>
      <c r="AV88" s="67"/>
      <c r="AW88" s="68"/>
      <c r="AX88" s="60"/>
      <c r="AY88" s="60"/>
    </row>
    <row r="89" spans="1:51" x14ac:dyDescent="0.3">
      <c r="AI89" s="65"/>
      <c r="AJ89" s="66"/>
      <c r="AK89" s="72"/>
      <c r="AL89" s="72"/>
      <c r="AM89" s="72"/>
      <c r="AN89" s="72"/>
      <c r="AV89" s="67"/>
      <c r="AW89" s="68"/>
      <c r="AX89" s="60"/>
      <c r="AY89" s="60"/>
    </row>
    <row r="90" spans="1:51" x14ac:dyDescent="0.3">
      <c r="AI90" s="65"/>
      <c r="AJ90" s="66"/>
      <c r="AK90" s="72"/>
      <c r="AL90" s="72"/>
      <c r="AM90" s="72"/>
      <c r="AN90" s="72"/>
      <c r="AV90" s="67"/>
      <c r="AW90" s="68"/>
      <c r="AX90" s="60"/>
      <c r="AY90" s="60"/>
    </row>
    <row r="91" spans="1:51" x14ac:dyDescent="0.3">
      <c r="AI91" s="65"/>
      <c r="AJ91" s="66"/>
      <c r="AV91" s="67"/>
      <c r="AW91" s="68"/>
      <c r="AX91" s="60"/>
      <c r="AY91" s="60"/>
    </row>
    <row r="92" spans="1:51" x14ac:dyDescent="0.3">
      <c r="AI92" s="65"/>
      <c r="AJ92" s="66"/>
      <c r="AV92" s="67"/>
      <c r="AW92" s="68"/>
      <c r="AX92" s="60"/>
      <c r="AY92" s="60"/>
    </row>
    <row r="93" spans="1:51" x14ac:dyDescent="0.3">
      <c r="AI93" s="65"/>
      <c r="AJ93" s="66"/>
      <c r="AV93" s="67"/>
      <c r="AW93" s="68"/>
      <c r="AX93" s="60"/>
      <c r="AY93" s="60"/>
    </row>
    <row r="94" spans="1:51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65"/>
      <c r="AJ94" s="66"/>
      <c r="AO94" s="5"/>
      <c r="AP94" s="5"/>
      <c r="AQ94" s="5"/>
      <c r="AR94" s="5"/>
      <c r="AS94" s="5"/>
      <c r="AT94" s="5"/>
      <c r="AU94" s="73"/>
      <c r="AV94" s="67"/>
      <c r="AW94" s="68"/>
      <c r="AX94" s="60"/>
      <c r="AY94" s="60"/>
    </row>
    <row r="95" spans="1:51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65"/>
      <c r="AJ95" s="66"/>
      <c r="AO95" s="5"/>
      <c r="AP95" s="5"/>
      <c r="AQ95" s="5"/>
      <c r="AR95" s="5"/>
      <c r="AS95" s="5"/>
      <c r="AT95" s="5"/>
      <c r="AU95" s="73"/>
      <c r="AV95" s="67"/>
      <c r="AW95" s="68"/>
      <c r="AX95" s="60"/>
      <c r="AY95" s="60"/>
    </row>
    <row r="96" spans="1:51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65"/>
      <c r="AJ96" s="66"/>
      <c r="AO96" s="5"/>
      <c r="AP96" s="5"/>
      <c r="AQ96" s="5"/>
      <c r="AR96" s="5"/>
      <c r="AS96" s="5"/>
      <c r="AT96" s="5"/>
      <c r="AU96" s="73"/>
      <c r="AV96" s="74"/>
      <c r="AW96" s="75"/>
      <c r="AX96" s="60"/>
      <c r="AY96" s="60"/>
    </row>
    <row r="97" spans="1:51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65"/>
      <c r="AJ97" s="66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73"/>
      <c r="AV97" s="74"/>
      <c r="AW97" s="75"/>
      <c r="AX97" s="60"/>
      <c r="AY97" s="60"/>
    </row>
    <row r="98" spans="1:51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65"/>
      <c r="AJ98" s="66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73"/>
      <c r="AV98" s="74"/>
      <c r="AW98" s="75"/>
      <c r="AX98" s="60"/>
      <c r="AY98" s="60"/>
    </row>
    <row r="99" spans="1:5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65"/>
      <c r="AJ99" s="66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73"/>
      <c r="AV99" s="74"/>
      <c r="AW99" s="75"/>
      <c r="AX99" s="60"/>
      <c r="AY99" s="60"/>
    </row>
    <row r="100" spans="1:51" x14ac:dyDescent="0.3">
      <c r="AI100" s="65"/>
      <c r="AJ100" s="66"/>
      <c r="AK100" s="5"/>
      <c r="AL100" s="5"/>
      <c r="AM100" s="5"/>
      <c r="AN100" s="5"/>
    </row>
    <row r="101" spans="1:51" x14ac:dyDescent="0.3">
      <c r="AI101" s="65"/>
      <c r="AJ101" s="66"/>
      <c r="AK101" s="5"/>
      <c r="AL101" s="5"/>
      <c r="AM101" s="5"/>
      <c r="AN101" s="5"/>
    </row>
    <row r="102" spans="1:51" x14ac:dyDescent="0.3">
      <c r="AI102" s="65"/>
      <c r="AJ102" s="66"/>
      <c r="AK102" s="5"/>
      <c r="AL102" s="5"/>
      <c r="AM102" s="5"/>
      <c r="AN102" s="5"/>
    </row>
    <row r="103" spans="1:51" x14ac:dyDescent="0.3">
      <c r="AI103" s="65"/>
      <c r="AJ103" s="66"/>
    </row>
    <row r="104" spans="1:51" x14ac:dyDescent="0.3">
      <c r="AI104" s="65"/>
      <c r="AJ104" s="66"/>
    </row>
    <row r="105" spans="1:51" x14ac:dyDescent="0.3">
      <c r="AI105" s="65"/>
      <c r="AJ105" s="66"/>
    </row>
    <row r="106" spans="1:51" x14ac:dyDescent="0.3">
      <c r="AI106" s="65"/>
      <c r="AJ106" s="66"/>
    </row>
    <row r="107" spans="1:51" x14ac:dyDescent="0.3">
      <c r="AI107" s="106" t="s">
        <v>35</v>
      </c>
      <c r="AJ107" s="107"/>
    </row>
    <row r="108" spans="1:51" x14ac:dyDescent="0.3">
      <c r="AI108" s="106" t="s">
        <v>35</v>
      </c>
      <c r="AJ108" s="107"/>
    </row>
    <row r="109" spans="1:51" x14ac:dyDescent="0.3">
      <c r="AI109" s="106" t="s">
        <v>35</v>
      </c>
      <c r="AJ109" s="107"/>
    </row>
    <row r="110" spans="1:51" x14ac:dyDescent="0.3">
      <c r="AI110" s="106" t="s">
        <v>147</v>
      </c>
      <c r="AJ110" s="107"/>
    </row>
    <row r="111" spans="1:51" x14ac:dyDescent="0.3">
      <c r="AI111" s="106" t="s">
        <v>35</v>
      </c>
      <c r="AJ111" s="107"/>
    </row>
    <row r="112" spans="1:51" x14ac:dyDescent="0.3">
      <c r="AI112" s="106" t="s">
        <v>35</v>
      </c>
      <c r="AJ112" s="107"/>
    </row>
    <row r="113" spans="35:36" x14ac:dyDescent="0.3">
      <c r="AI113" s="106" t="s">
        <v>35</v>
      </c>
      <c r="AJ113" s="107"/>
    </row>
    <row r="114" spans="35:36" x14ac:dyDescent="0.3">
      <c r="AI114" s="106" t="s">
        <v>35</v>
      </c>
      <c r="AJ114" s="107"/>
    </row>
    <row r="115" spans="35:36" x14ac:dyDescent="0.3">
      <c r="AI115" s="106" t="s">
        <v>35</v>
      </c>
      <c r="AJ115" s="107"/>
    </row>
    <row r="116" spans="35:36" x14ac:dyDescent="0.3">
      <c r="AI116" s="6"/>
      <c r="AJ116" s="6"/>
    </row>
    <row r="117" spans="35:36" x14ac:dyDescent="0.3">
      <c r="AI117" s="64"/>
      <c r="AJ117" s="64"/>
    </row>
    <row r="118" spans="35:36" x14ac:dyDescent="0.3">
      <c r="AI118" s="72"/>
      <c r="AJ118" s="72"/>
    </row>
    <row r="119" spans="35:36" x14ac:dyDescent="0.3">
      <c r="AI119" s="72"/>
      <c r="AJ119" s="72"/>
    </row>
    <row r="120" spans="35:36" x14ac:dyDescent="0.3">
      <c r="AI120" s="72"/>
      <c r="AJ120" s="72"/>
    </row>
    <row r="121" spans="35:36" x14ac:dyDescent="0.3">
      <c r="AI121" s="72"/>
      <c r="AJ121" s="72"/>
    </row>
    <row r="128" spans="35:36" x14ac:dyDescent="0.3">
      <c r="AI128" s="5"/>
      <c r="AJ128" s="5"/>
    </row>
    <row r="129" spans="35:36" x14ac:dyDescent="0.3">
      <c r="AI129" s="5"/>
      <c r="AJ129" s="5"/>
    </row>
    <row r="130" spans="35:36" x14ac:dyDescent="0.3">
      <c r="AI130" s="5"/>
      <c r="AJ130" s="5"/>
    </row>
    <row r="131" spans="35:36" x14ac:dyDescent="0.3">
      <c r="AI131" s="5"/>
      <c r="AJ131" s="5"/>
    </row>
    <row r="132" spans="35:36" x14ac:dyDescent="0.3">
      <c r="AI132" s="5"/>
      <c r="AJ132" s="5"/>
    </row>
    <row r="133" spans="35:36" x14ac:dyDescent="0.3">
      <c r="AI133" s="5"/>
      <c r="AJ133" s="5"/>
    </row>
  </sheetData>
  <mergeCells count="198">
    <mergeCell ref="AI4:AJ4"/>
    <mergeCell ref="AI8:AJ8"/>
    <mergeCell ref="AK7:AL7"/>
    <mergeCell ref="AI7:AJ7"/>
    <mergeCell ref="AK6:AL6"/>
    <mergeCell ref="AI6:AJ6"/>
    <mergeCell ref="AI114:AJ114"/>
    <mergeCell ref="AI115:AJ115"/>
    <mergeCell ref="AI108:AJ108"/>
    <mergeCell ref="AI109:AJ109"/>
    <mergeCell ref="AI110:AJ110"/>
    <mergeCell ref="AI111:AJ111"/>
    <mergeCell ref="AI112:AJ112"/>
    <mergeCell ref="AI113:AJ113"/>
    <mergeCell ref="AI78:AJ78"/>
    <mergeCell ref="AK78:AL78"/>
    <mergeCell ref="AI79:AJ79"/>
    <mergeCell ref="AK79:AL79"/>
    <mergeCell ref="AI80:AJ80"/>
    <mergeCell ref="AK80:AL80"/>
    <mergeCell ref="AI75:AJ75"/>
    <mergeCell ref="AK75:AL75"/>
    <mergeCell ref="AI76:AJ76"/>
    <mergeCell ref="AK76:AL76"/>
    <mergeCell ref="AO82:AQ82"/>
    <mergeCell ref="AR82:AT82"/>
    <mergeCell ref="AV82:AW82"/>
    <mergeCell ref="AK83:AL83"/>
    <mergeCell ref="AK84:AL84"/>
    <mergeCell ref="AI107:AJ107"/>
    <mergeCell ref="AI81:AJ81"/>
    <mergeCell ref="AK81:AL81"/>
    <mergeCell ref="A82:E82"/>
    <mergeCell ref="F82:K82"/>
    <mergeCell ref="M82:R82"/>
    <mergeCell ref="W82:X82"/>
    <mergeCell ref="Z82:AH82"/>
    <mergeCell ref="AI82:AJ82"/>
    <mergeCell ref="AK82:AL82"/>
    <mergeCell ref="AI77:AJ77"/>
    <mergeCell ref="AK77:AL77"/>
    <mergeCell ref="AI72:AJ72"/>
    <mergeCell ref="AK72:AL72"/>
    <mergeCell ref="AI73:AJ73"/>
    <mergeCell ref="AK73:AL73"/>
    <mergeCell ref="AI74:AJ74"/>
    <mergeCell ref="AK74:AL74"/>
    <mergeCell ref="AI69:AJ69"/>
    <mergeCell ref="AK69:AL69"/>
    <mergeCell ref="AI70:AJ70"/>
    <mergeCell ref="AK70:AL70"/>
    <mergeCell ref="AI71:AJ71"/>
    <mergeCell ref="AK71:AL71"/>
    <mergeCell ref="AI66:AJ66"/>
    <mergeCell ref="AK66:AL66"/>
    <mergeCell ref="AI67:AJ67"/>
    <mergeCell ref="AK67:AL67"/>
    <mergeCell ref="AI68:AJ68"/>
    <mergeCell ref="AK68:AL68"/>
    <mergeCell ref="AI63:AJ63"/>
    <mergeCell ref="AK63:AL63"/>
    <mergeCell ref="AI64:AJ64"/>
    <mergeCell ref="AK64:AL64"/>
    <mergeCell ref="AI65:AJ65"/>
    <mergeCell ref="AK65:AL65"/>
    <mergeCell ref="AI60:AJ60"/>
    <mergeCell ref="AK60:AL60"/>
    <mergeCell ref="AI61:AJ61"/>
    <mergeCell ref="AK61:AL61"/>
    <mergeCell ref="AI62:AJ62"/>
    <mergeCell ref="AK62:AL62"/>
    <mergeCell ref="AI57:AJ57"/>
    <mergeCell ref="AK57:AL57"/>
    <mergeCell ref="AI58:AJ58"/>
    <mergeCell ref="AK58:AL58"/>
    <mergeCell ref="AI59:AJ59"/>
    <mergeCell ref="AK59:AL59"/>
    <mergeCell ref="AI54:AJ54"/>
    <mergeCell ref="AK54:AL54"/>
    <mergeCell ref="AI55:AJ55"/>
    <mergeCell ref="AK55:AL55"/>
    <mergeCell ref="AI56:AJ56"/>
    <mergeCell ref="AK56:AL56"/>
    <mergeCell ref="AI51:AJ51"/>
    <mergeCell ref="AK51:AL51"/>
    <mergeCell ref="AI52:AJ52"/>
    <mergeCell ref="AK52:AL52"/>
    <mergeCell ref="AI53:AJ53"/>
    <mergeCell ref="AK53:AL53"/>
    <mergeCell ref="AI48:AJ48"/>
    <mergeCell ref="AK48:AL48"/>
    <mergeCell ref="AI49:AJ49"/>
    <mergeCell ref="AK49:AL49"/>
    <mergeCell ref="AI50:AJ50"/>
    <mergeCell ref="AK50:AL50"/>
    <mergeCell ref="AI45:AJ45"/>
    <mergeCell ref="AK45:AL45"/>
    <mergeCell ref="AI46:AJ46"/>
    <mergeCell ref="AK46:AL46"/>
    <mergeCell ref="AI47:AJ47"/>
    <mergeCell ref="AK47:AL47"/>
    <mergeCell ref="AI42:AJ42"/>
    <mergeCell ref="AK42:AL42"/>
    <mergeCell ref="AI43:AJ43"/>
    <mergeCell ref="AK43:AL43"/>
    <mergeCell ref="AI44:AJ44"/>
    <mergeCell ref="AK44:AL44"/>
    <mergeCell ref="AI39:AJ39"/>
    <mergeCell ref="AK39:AL39"/>
    <mergeCell ref="AI40:AJ40"/>
    <mergeCell ref="AK40:AL40"/>
    <mergeCell ref="AI41:AJ41"/>
    <mergeCell ref="AK41:AL41"/>
    <mergeCell ref="AI36:AJ36"/>
    <mergeCell ref="AK36:AL36"/>
    <mergeCell ref="AI37:AJ37"/>
    <mergeCell ref="AK37:AL37"/>
    <mergeCell ref="AI38:AJ38"/>
    <mergeCell ref="AK38:AL38"/>
    <mergeCell ref="AI33:AJ33"/>
    <mergeCell ref="AK33:AL33"/>
    <mergeCell ref="AI34:AJ34"/>
    <mergeCell ref="AK34:AL34"/>
    <mergeCell ref="AI35:AJ35"/>
    <mergeCell ref="AK35:AL35"/>
    <mergeCell ref="AI30:AJ30"/>
    <mergeCell ref="AK30:AL30"/>
    <mergeCell ref="AI31:AJ31"/>
    <mergeCell ref="AK31:AL31"/>
    <mergeCell ref="AI32:AJ32"/>
    <mergeCell ref="AK32:AL32"/>
    <mergeCell ref="AI27:AJ27"/>
    <mergeCell ref="AK27:AL27"/>
    <mergeCell ref="AI28:AJ28"/>
    <mergeCell ref="AK28:AL28"/>
    <mergeCell ref="AI29:AJ29"/>
    <mergeCell ref="AK29:AL29"/>
    <mergeCell ref="AI24:AJ24"/>
    <mergeCell ref="AK24:AL24"/>
    <mergeCell ref="AI25:AJ25"/>
    <mergeCell ref="AK25:AL25"/>
    <mergeCell ref="AI26:AJ26"/>
    <mergeCell ref="AK26:AL26"/>
    <mergeCell ref="AI21:AJ21"/>
    <mergeCell ref="AK21:AL21"/>
    <mergeCell ref="AI22:AJ22"/>
    <mergeCell ref="AK22:AL22"/>
    <mergeCell ref="AI23:AJ23"/>
    <mergeCell ref="AK23:AL23"/>
    <mergeCell ref="AI18:AJ18"/>
    <mergeCell ref="AK18:AL18"/>
    <mergeCell ref="AI19:AJ19"/>
    <mergeCell ref="AK19:AL19"/>
    <mergeCell ref="AI20:AJ20"/>
    <mergeCell ref="AK20:AL20"/>
    <mergeCell ref="AI15:AJ15"/>
    <mergeCell ref="AK15:AL15"/>
    <mergeCell ref="AI16:AJ16"/>
    <mergeCell ref="AK16:AL16"/>
    <mergeCell ref="AI17:AJ17"/>
    <mergeCell ref="AK17:AL17"/>
    <mergeCell ref="AI12:AJ12"/>
    <mergeCell ref="AK12:AL12"/>
    <mergeCell ref="AI13:AJ13"/>
    <mergeCell ref="AK13:AL13"/>
    <mergeCell ref="AI14:AJ14"/>
    <mergeCell ref="AK14:AL14"/>
    <mergeCell ref="AK8:AL8"/>
    <mergeCell ref="AI9:AJ9"/>
    <mergeCell ref="AK9:AL9"/>
    <mergeCell ref="AI10:AJ10"/>
    <mergeCell ref="AK10:AL10"/>
    <mergeCell ref="AI11:AJ11"/>
    <mergeCell ref="AK11:AL11"/>
    <mergeCell ref="AK5:AL5"/>
    <mergeCell ref="AI5:AJ5"/>
    <mergeCell ref="AK4:AL4"/>
    <mergeCell ref="A4:A81"/>
    <mergeCell ref="AY1:AY2"/>
    <mergeCell ref="F2:L2"/>
    <mergeCell ref="M2:S2"/>
    <mergeCell ref="T2:V2"/>
    <mergeCell ref="W2:Y2"/>
    <mergeCell ref="AG3:AH3"/>
    <mergeCell ref="AI3:AJ3"/>
    <mergeCell ref="AK3:AL3"/>
    <mergeCell ref="AI1:AJ2"/>
    <mergeCell ref="AK1:AL2"/>
    <mergeCell ref="AO1:AQ2"/>
    <mergeCell ref="AR1:AT2"/>
    <mergeCell ref="AU1:AU2"/>
    <mergeCell ref="AX1:AX2"/>
    <mergeCell ref="A1:A3"/>
    <mergeCell ref="E1:E3"/>
    <mergeCell ref="F1:Y1"/>
    <mergeCell ref="Z1:AD1"/>
    <mergeCell ref="AF1:AF3"/>
    <mergeCell ref="AG1:AH2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류성진</dc:creator>
  <cp:lastModifiedBy>류성진</cp:lastModifiedBy>
  <dcterms:created xsi:type="dcterms:W3CDTF">2016-11-04T04:06:05Z</dcterms:created>
  <dcterms:modified xsi:type="dcterms:W3CDTF">2016-11-04T15:03:47Z</dcterms:modified>
</cp:coreProperties>
</file>